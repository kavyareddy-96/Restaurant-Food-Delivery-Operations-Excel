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a11c7462a849dd30/Documents/"/>
    </mc:Choice>
  </mc:AlternateContent>
  <xr:revisionPtr revIDLastSave="0" documentId="8_{8EA5371A-BF47-4407-B086-9714D21CC5B0}" xr6:coauthVersionLast="47" xr6:coauthVersionMax="47" xr10:uidLastSave="{00000000-0000-0000-0000-000000000000}"/>
  <bookViews>
    <workbookView xWindow="-110" yWindow="-110" windowWidth="19420" windowHeight="11020" firstSheet="1" activeTab="6" xr2:uid="{4CB973CB-7997-445F-8237-8684FA2752C2}"/>
  </bookViews>
  <sheets>
    <sheet name="Raw_Data" sheetId="1" r:id="rId1"/>
    <sheet name="Master_Branch" sheetId="2" r:id="rId2"/>
    <sheet name="Master_Menu Item" sheetId="3" r:id="rId3"/>
    <sheet name="Clean_Data" sheetId="4" r:id="rId4"/>
    <sheet name="Summary" sheetId="5" r:id="rId5"/>
    <sheet name="Pivot Tables" sheetId="6" r:id="rId6"/>
    <sheet name="Dashboard" sheetId="7" r:id="rId7"/>
  </sheets>
  <definedNames>
    <definedName name="_xlnm._FilterDatabase" localSheetId="3" hidden="1">Clean_Data!$P$1:$P$161</definedName>
    <definedName name="Slicer_Branch_code">#N/A</definedName>
    <definedName name="Slicer_Delivery_Statu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3" i="5" l="1"/>
  <c r="B45" i="5" s="1"/>
  <c r="B39" i="5"/>
  <c r="P10" i="4"/>
  <c r="P7" i="4"/>
  <c r="P3" i="4"/>
  <c r="P4" i="4"/>
  <c r="P5" i="4"/>
  <c r="P6" i="4"/>
  <c r="P8" i="4"/>
  <c r="P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2" i="4"/>
  <c r="B12" i="5"/>
  <c r="B13" i="5"/>
  <c r="B14" i="5"/>
  <c r="B15" i="5"/>
  <c r="F19" i="5"/>
  <c r="F20" i="5"/>
  <c r="F21" i="5"/>
  <c r="F12" i="5"/>
  <c r="F13" i="5"/>
  <c r="F7" i="5"/>
  <c r="F6" i="5"/>
  <c r="F5" i="5"/>
  <c r="F4" i="5"/>
  <c r="F3" i="5"/>
  <c r="B25" i="5"/>
  <c r="B24" i="5"/>
  <c r="B23" i="5"/>
  <c r="B22" i="5"/>
  <c r="B21" i="5"/>
  <c r="B20" i="5"/>
  <c r="B19" i="5"/>
  <c r="B11" i="5"/>
  <c r="B3" i="5"/>
  <c r="B6" i="5"/>
  <c r="B5" i="5"/>
  <c r="B4" i="5"/>
  <c r="B2" i="5"/>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2"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2" i="4"/>
  <c r="B26" i="5" l="1"/>
  <c r="B7" i="5"/>
  <c r="F8" i="5"/>
</calcChain>
</file>

<file path=xl/sharedStrings.xml><?xml version="1.0" encoding="utf-8"?>
<sst xmlns="http://schemas.openxmlformats.org/spreadsheetml/2006/main" count="2120" uniqueCount="450">
  <si>
    <t>Order_ID</t>
  </si>
  <si>
    <t>Order_Date</t>
  </si>
  <si>
    <t>Order_Time</t>
  </si>
  <si>
    <t>Branch_code</t>
  </si>
  <si>
    <t>Cuisine</t>
  </si>
  <si>
    <t>Item_Name</t>
  </si>
  <si>
    <t>Customer_Name</t>
  </si>
  <si>
    <t>Order_Value</t>
  </si>
  <si>
    <t>Delivery_Time_Min</t>
  </si>
  <si>
    <t>Rating</t>
  </si>
  <si>
    <t>Payment_Mode</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</si>
  <si>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</si>
  <si>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</si>
  <si>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</si>
  <si>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</si>
  <si>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</si>
  <si>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</si>
  <si>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</si>
  <si>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</si>
  <si>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</si>
  <si>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</si>
  <si>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</si>
  <si>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</si>
  <si>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</si>
  <si>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</si>
  <si>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</si>
  <si>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</si>
  <si>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</si>
  <si>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</si>
  <si>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</si>
  <si>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</si>
  <si>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</si>
  <si>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</si>
  <si>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</si>
  <si>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</si>
  <si>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</si>
  <si>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</si>
  <si>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</si>
  <si>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</si>
  <si>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</si>
  <si>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</si>
  <si>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</si>
  <si>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</si>
  <si>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</si>
  <si>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</si>
  <si>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</si>
  <si>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</si>
  <si>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</si>
  <si>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</si>
  <si>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</si>
  <si>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</si>
  <si>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</si>
  <si>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</si>
  <si>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</si>
  <si>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</si>
  <si>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</si>
  <si>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</si>
  <si>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</si>
  <si>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</si>
  <si>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</si>
  <si>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</si>
  <si>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</si>
  <si>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</si>
  <si>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</si>
  <si>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</si>
  <si>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</si>
  <si>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</si>
  <si>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</si>
  <si>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</si>
  <si>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</si>
  <si>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</si>
  <si>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</si>
  <si>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</si>
  <si>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</si>
  <si>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</si>
  <si>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</si>
  <si>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</si>
  <si>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</si>
  <si>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</si>
  <si>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</si>
  <si>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</si>
  <si>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</si>
  <si>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</si>
  <si>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</si>
  <si>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</si>
  <si>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</si>
  <si>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</si>
  <si>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</si>
  <si>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</si>
  <si>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</si>
  <si>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</si>
  <si>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</si>
  <si>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</si>
  <si>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</si>
  <si>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</si>
  <si>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</si>
  <si>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</si>
  <si>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</si>
  <si>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</si>
  <si>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</si>
  <si>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</si>
  <si>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</si>
  <si>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</si>
  <si>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</si>
  <si>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</si>
  <si>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</si>
  <si>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</si>
  <si>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</si>
  <si>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</si>
  <si>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</si>
  <si>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</si>
  <si>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</si>
  <si>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</si>
  <si>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</si>
  <si>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</si>
  <si>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</si>
  <si>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</si>
  <si>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</si>
  <si>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</si>
  <si>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</si>
  <si>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</si>
  <si>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</si>
  <si>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</si>
  <si>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</si>
  <si>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</si>
  <si>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</si>
  <si>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</si>
  <si>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</si>
  <si>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</si>
  <si>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</si>
  <si>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</si>
  <si>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</si>
  <si>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</si>
  <si>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</si>
  <si>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</si>
  <si>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</si>
  <si>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</si>
  <si>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</si>
  <si>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</si>
  <si>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</si>
  <si>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</si>
  <si>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</si>
  <si>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</si>
  <si>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</si>
  <si>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</si>
  <si>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</si>
  <si>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</si>
  <si>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</si>
  <si>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</si>
  <si>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</si>
  <si>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</si>
  <si>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</si>
  <si>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</si>
  <si>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</si>
  <si>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</si>
  <si>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</si>
  <si>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</si>
  <si>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</si>
  <si>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</si>
  <si>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</si>
  <si>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</si>
  <si>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</si>
  <si>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</si>
  <si>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</si>
  <si>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</si>
  <si>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</si>
  <si>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</si>
  <si>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</si>
  <si>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</si>
  <si>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</si>
  <si>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</si>
  <si>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11/02/2026</t>
  </si>
  <si>
    <t>12/02-2026</t>
  </si>
  <si>
    <t>12/02/2026</t>
  </si>
  <si>
    <t>22/02/2026</t>
  </si>
  <si>
    <t>23/02/2026</t>
  </si>
  <si>
    <t>27/02/2026</t>
  </si>
  <si>
    <t>3 March 2026</t>
  </si>
  <si>
    <t>3 MArch-2026</t>
  </si>
  <si>
    <t>11/03/2026</t>
  </si>
  <si>
    <t>14/03/2026</t>
  </si>
  <si>
    <t>16/03/2026</t>
  </si>
  <si>
    <t>19/03/2026</t>
  </si>
  <si>
    <t>21/03/2026</t>
  </si>
  <si>
    <t>2 April 2026</t>
  </si>
  <si>
    <t>5 April 2026</t>
  </si>
  <si>
    <t>6 April 2026</t>
  </si>
  <si>
    <t>07/04/2026</t>
  </si>
  <si>
    <t>13/04/2026</t>
  </si>
  <si>
    <t>25/03/2026</t>
  </si>
  <si>
    <t>30/03/2026</t>
  </si>
  <si>
    <t>21/04/2026</t>
  </si>
  <si>
    <t>25/04/2026</t>
  </si>
  <si>
    <t>27/04/2026</t>
  </si>
  <si>
    <t>30/04/2026</t>
  </si>
  <si>
    <t>02/05/2026</t>
  </si>
  <si>
    <t>04/05/2026</t>
  </si>
  <si>
    <t>07/05/2026</t>
  </si>
  <si>
    <t>11 May2026</t>
  </si>
  <si>
    <t>01/07/2026</t>
  </si>
  <si>
    <t>17/06/2026</t>
  </si>
  <si>
    <t>22/06/2026</t>
  </si>
  <si>
    <t>05/07/2026</t>
  </si>
  <si>
    <t>BLR01</t>
  </si>
  <si>
    <t>HYD10</t>
  </si>
  <si>
    <t>AP02</t>
  </si>
  <si>
    <t>TN12</t>
  </si>
  <si>
    <t>KL02</t>
  </si>
  <si>
    <t>BLR20</t>
  </si>
  <si>
    <t>South Indian</t>
  </si>
  <si>
    <t>Fast Food</t>
  </si>
  <si>
    <t>North Indian</t>
  </si>
  <si>
    <t>Chinese</t>
  </si>
  <si>
    <t>Deserts/Bakery</t>
  </si>
  <si>
    <t>Masala Dosa</t>
  </si>
  <si>
    <t>Chicken Burger</t>
  </si>
  <si>
    <t>Butter Chicken</t>
  </si>
  <si>
    <t>Manchurian Rice</t>
  </si>
  <si>
    <t>Gulab Jamun</t>
  </si>
  <si>
    <t>Frenchfries</t>
  </si>
  <si>
    <t>Dalmakhani</t>
  </si>
  <si>
    <t>Hakkanoodles</t>
  </si>
  <si>
    <t>Gulabjamun</t>
  </si>
  <si>
    <t>Idli Sambar</t>
  </si>
  <si>
    <t>chickenburger</t>
  </si>
  <si>
    <t>butterchicken</t>
  </si>
  <si>
    <t>Dal Makhani</t>
  </si>
  <si>
    <t>Hakka Noodles</t>
  </si>
  <si>
    <t>Nithya</t>
  </si>
  <si>
    <t>Seetha</t>
  </si>
  <si>
    <t>Geetha</t>
  </si>
  <si>
    <t>Ramya</t>
  </si>
  <si>
    <t>Teja</t>
  </si>
  <si>
    <t>Asmitha</t>
  </si>
  <si>
    <t>Ashrith</t>
  </si>
  <si>
    <t>Ajay</t>
  </si>
  <si>
    <t>Sai</t>
  </si>
  <si>
    <t>Bharath</t>
  </si>
  <si>
    <t>Indhu</t>
  </si>
  <si>
    <t>Dhanush</t>
  </si>
  <si>
    <t>Dheeraj</t>
  </si>
  <si>
    <t>Vaishnavi</t>
  </si>
  <si>
    <t>Jay</t>
  </si>
  <si>
    <t>Kiran</t>
  </si>
  <si>
    <t>Varsha</t>
  </si>
  <si>
    <t>Varshith</t>
  </si>
  <si>
    <t>Varun</t>
  </si>
  <si>
    <t>Tejas</t>
  </si>
  <si>
    <t>Tharuni</t>
  </si>
  <si>
    <t>Bindhu</t>
  </si>
  <si>
    <t>Madhavi</t>
  </si>
  <si>
    <t>Navadeep</t>
  </si>
  <si>
    <t>Abhi</t>
  </si>
  <si>
    <t>Tharun</t>
  </si>
  <si>
    <t>Vedha</t>
  </si>
  <si>
    <t>Vennela</t>
  </si>
  <si>
    <t>Harshini</t>
  </si>
  <si>
    <t>Ali</t>
  </si>
  <si>
    <t>dheeraj</t>
  </si>
  <si>
    <t>sai</t>
  </si>
  <si>
    <t>vedha</t>
  </si>
  <si>
    <t>Sheela</t>
  </si>
  <si>
    <t>Joshna</t>
  </si>
  <si>
    <t>Lavanya</t>
  </si>
  <si>
    <t>swathi</t>
  </si>
  <si>
    <t>varshini</t>
  </si>
  <si>
    <t>Teju</t>
  </si>
  <si>
    <t>Harsha</t>
  </si>
  <si>
    <t>Kailash</t>
  </si>
  <si>
    <t>Vishnu</t>
  </si>
  <si>
    <t>Sohel</t>
  </si>
  <si>
    <t>Deepu</t>
  </si>
  <si>
    <t>Banshitha</t>
  </si>
  <si>
    <t>Nayana</t>
  </si>
  <si>
    <t>Vanshitha</t>
  </si>
  <si>
    <t>Keerthana</t>
  </si>
  <si>
    <t>Sujatha</t>
  </si>
  <si>
    <t>Preethi</t>
  </si>
  <si>
    <t>Rama</t>
  </si>
  <si>
    <t>Ramu</t>
  </si>
  <si>
    <t>Priya</t>
  </si>
  <si>
    <t>Rishi</t>
  </si>
  <si>
    <t>Naresh</t>
  </si>
  <si>
    <t>Prem</t>
  </si>
  <si>
    <t>Sailesh</t>
  </si>
  <si>
    <t>Rajesh</t>
  </si>
  <si>
    <t>Ramesh</t>
  </si>
  <si>
    <t>Surya</t>
  </si>
  <si>
    <t>Pavithra</t>
  </si>
  <si>
    <t>Varshu</t>
  </si>
  <si>
    <t>Keerthi</t>
  </si>
  <si>
    <t>Jahnavi</t>
  </si>
  <si>
    <t>Jersey</t>
  </si>
  <si>
    <t>Shahin</t>
  </si>
  <si>
    <t>Shalini</t>
  </si>
  <si>
    <t>Aman</t>
  </si>
  <si>
    <t>Karthik</t>
  </si>
  <si>
    <t>Karuna</t>
  </si>
  <si>
    <t>Bheemesh</t>
  </si>
  <si>
    <t>Bharathi</t>
  </si>
  <si>
    <t>Narendra</t>
  </si>
  <si>
    <t>Ruchi</t>
  </si>
  <si>
    <t>Haranya</t>
  </si>
  <si>
    <t>sashi</t>
  </si>
  <si>
    <t>Sakshi</t>
  </si>
  <si>
    <t>Sreekarun</t>
  </si>
  <si>
    <t>Divya</t>
  </si>
  <si>
    <t>Mukesh</t>
  </si>
  <si>
    <t>Rahul</t>
  </si>
  <si>
    <t>Thoufiq</t>
  </si>
  <si>
    <t>Kishore</t>
  </si>
  <si>
    <t>Hemanth</t>
  </si>
  <si>
    <t>Dhanunjay</t>
  </si>
  <si>
    <t>Akshaya</t>
  </si>
  <si>
    <t>Anu</t>
  </si>
  <si>
    <t>Jashmitha</t>
  </si>
  <si>
    <t>Sushmitha</t>
  </si>
  <si>
    <t>Kabir</t>
  </si>
  <si>
    <t>Vihaan</t>
  </si>
  <si>
    <t>Aayush</t>
  </si>
  <si>
    <t>Ishaan</t>
  </si>
  <si>
    <t>Aarav</t>
  </si>
  <si>
    <t>Saanvi</t>
  </si>
  <si>
    <t>Diya</t>
  </si>
  <si>
    <t>Jhavi</t>
  </si>
  <si>
    <t>Anaya</t>
  </si>
  <si>
    <t>Kathir</t>
  </si>
  <si>
    <t>Reena</t>
  </si>
  <si>
    <t>Rocky</t>
  </si>
  <si>
    <t>Mithilesh</t>
  </si>
  <si>
    <t>Sourav</t>
  </si>
  <si>
    <t>Aadhya</t>
  </si>
  <si>
    <t>Aditi</t>
  </si>
  <si>
    <t>Akanksha</t>
  </si>
  <si>
    <t>Anjali</t>
  </si>
  <si>
    <t>Ananya</t>
  </si>
  <si>
    <t>Anika</t>
  </si>
  <si>
    <t>Damini</t>
  </si>
  <si>
    <t>Dharmiki</t>
  </si>
  <si>
    <t>Ishan</t>
  </si>
  <si>
    <t>Sandhya</t>
  </si>
  <si>
    <t>Bhoomika</t>
  </si>
  <si>
    <t>Leela</t>
  </si>
  <si>
    <t>Akhila</t>
  </si>
  <si>
    <t>Malvika</t>
  </si>
  <si>
    <t>Maya</t>
  </si>
  <si>
    <t>Meera</t>
  </si>
  <si>
    <t>Meenal</t>
  </si>
  <si>
    <t>Muskan</t>
  </si>
  <si>
    <t>Mahima</t>
  </si>
  <si>
    <t>Pavani</t>
  </si>
  <si>
    <t>Kriti</t>
  </si>
  <si>
    <t>Kanika</t>
  </si>
  <si>
    <t>Nandini</t>
  </si>
  <si>
    <t>Navya</t>
  </si>
  <si>
    <t>Niharika</t>
  </si>
  <si>
    <t>Sreeja</t>
  </si>
  <si>
    <t>Dharam</t>
  </si>
  <si>
    <t>Vaishnav</t>
  </si>
  <si>
    <t>Payal</t>
  </si>
  <si>
    <t>Poonam</t>
  </si>
  <si>
    <t>Prachi</t>
  </si>
  <si>
    <t>Rachana</t>
  </si>
  <si>
    <t>Suma</t>
  </si>
  <si>
    <t>Samantha</t>
  </si>
  <si>
    <t>Trisha</t>
  </si>
  <si>
    <t>Naini</t>
  </si>
  <si>
    <t>Pari</t>
  </si>
  <si>
    <t>Shiv</t>
  </si>
  <si>
    <t>Karunya Reddy</t>
  </si>
  <si>
    <t>Roshini</t>
  </si>
  <si>
    <t>Roshan</t>
  </si>
  <si>
    <t>Ritu</t>
  </si>
  <si>
    <t>Priyanka</t>
  </si>
  <si>
    <t>Nisha</t>
  </si>
  <si>
    <t>Neha</t>
  </si>
  <si>
    <t>Rohini</t>
  </si>
  <si>
    <t>Tanvi</t>
  </si>
  <si>
    <t>Manisha</t>
  </si>
  <si>
    <t>Sowmika</t>
  </si>
  <si>
    <t>Varshitha</t>
  </si>
  <si>
    <t>Himathi</t>
  </si>
  <si>
    <t>UPI</t>
  </si>
  <si>
    <t>Cash</t>
  </si>
  <si>
    <t>Credit/Debit Card</t>
  </si>
  <si>
    <t>Ravi</t>
  </si>
  <si>
    <t>Branch_Name</t>
  </si>
  <si>
    <t>City</t>
  </si>
  <si>
    <t>Manager</t>
  </si>
  <si>
    <t>Branch_Code</t>
  </si>
  <si>
    <t>Koramangala</t>
  </si>
  <si>
    <t>MG Road</t>
  </si>
  <si>
    <t>LB Nagar</t>
  </si>
  <si>
    <t>T Nagar</t>
  </si>
  <si>
    <t>Bengaluru</t>
  </si>
  <si>
    <t>Kochi</t>
  </si>
  <si>
    <t>Hyderabad</t>
  </si>
  <si>
    <t>Vijaywada</t>
  </si>
  <si>
    <t>Chennai</t>
  </si>
  <si>
    <t>Anitha</t>
  </si>
  <si>
    <t>Vikram</t>
  </si>
  <si>
    <t>Vijay</t>
  </si>
  <si>
    <t>Rohit</t>
  </si>
  <si>
    <t>Vijayawada Central</t>
  </si>
  <si>
    <t>Category</t>
  </si>
  <si>
    <t>French fries</t>
  </si>
  <si>
    <t>Main Course</t>
  </si>
  <si>
    <t>Desert</t>
  </si>
  <si>
    <t>Breakfast</t>
  </si>
  <si>
    <t>French Fries</t>
  </si>
  <si>
    <t>Clean_Customer_Name</t>
  </si>
  <si>
    <t>Order_Day</t>
  </si>
  <si>
    <t>Order_Month</t>
  </si>
  <si>
    <t>Delivery_Status</t>
  </si>
  <si>
    <t>Rating_Category</t>
  </si>
  <si>
    <t>Revenue by Branch</t>
  </si>
  <si>
    <t>Average Delivery Time by Branch</t>
  </si>
  <si>
    <t>Order Count by Day of Week</t>
  </si>
  <si>
    <t>Monday</t>
  </si>
  <si>
    <t>Tuesday</t>
  </si>
  <si>
    <t>Wednesday</t>
  </si>
  <si>
    <t>Thursday</t>
  </si>
  <si>
    <t>Friday</t>
  </si>
  <si>
    <t>Saturday</t>
  </si>
  <si>
    <t>Sunday</t>
  </si>
  <si>
    <t>Revenue By Cuisine</t>
  </si>
  <si>
    <t>SUM</t>
  </si>
  <si>
    <t>Orders by Rating_Category</t>
  </si>
  <si>
    <t>Good</t>
  </si>
  <si>
    <t>Needs Improvement</t>
  </si>
  <si>
    <t>Orders by Delivery_Status</t>
  </si>
  <si>
    <t>Fast</t>
  </si>
  <si>
    <t>Normal</t>
  </si>
  <si>
    <t>Slow</t>
  </si>
  <si>
    <t>Row Labels</t>
  </si>
  <si>
    <t>Grand Total</t>
  </si>
  <si>
    <t>Column Labels</t>
  </si>
  <si>
    <t>Pivot_Revenue_BranchMonth</t>
  </si>
  <si>
    <t>Pivot_AvgRating_Branch</t>
  </si>
  <si>
    <t>Pivot_Orders_DayDeliveryStatus</t>
  </si>
  <si>
    <t>Monthly Revenue Trend by Branch</t>
  </si>
  <si>
    <t>Order Share by Cuisine</t>
  </si>
  <si>
    <t>Average Customer Rating by Branch</t>
  </si>
  <si>
    <t>Delivery Performance by Day</t>
  </si>
  <si>
    <t xml:space="preserve"> Pivot_Orders By Cuisine</t>
  </si>
  <si>
    <t>Current Total Revenue</t>
  </si>
  <si>
    <t>% Increase in Order Value</t>
  </si>
  <si>
    <t>Projected Revenue</t>
  </si>
  <si>
    <t>Correct_Cuisine</t>
  </si>
  <si>
    <t>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</si>
</sst>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4009]dd/mm/yyyy;@"/>
    <numFmt numFmtId="165" formatCode="0.0"/>
    <numFmt numFmtId="166" formatCode="mmm/yyyy"/>
  </numFmts>
  <fonts count="8">
    <font>
      <sz val="11"/>
      <color theme="1"/>
      <name val="Calibri"/>
      <family val="2"/>
      <scheme val="minor"/>
    </font>
    <font>
      <sz val="8"/>
      <name val="Calibri"/>
      <family val="2"/>
      <scheme val="minor"/>
    </font>
    <font>
      <sz val="10"/>
      <color theme="1"/>
      <name val="Arial Unicode MS"/>
    </font>
    <font>
      <b/>
      <sz val="11"/>
      <color theme="1"/>
      <name val="Times New Roman"/>
      <family val="1"/>
    </font>
    <font>
      <sz val="11"/>
      <color theme="1"/>
      <name val="Times New Roman"/>
      <family val="1"/>
    </font>
    <font>
      <sz val="10"/>
      <color theme="1"/>
      <name val="Times New Roman"/>
      <family val="1"/>
    </font>
    <font>
      <b/>
      <sz val="16"/>
      <color theme="1"/>
      <name val="Times New Roman"/>
      <family val="1"/>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164" fontId="0" fillId="0" borderId="0" xfId="0" applyNumberFormat="1"/>
    <xf numFmtId="0" fontId="2" fillId="0" borderId="0" xfId="0" applyFont="1"/>
    <xf numFmtId="165" fontId="0" fillId="0" borderId="0" xfId="0" applyNumberFormat="1"/>
    <xf numFmtId="0" fontId="3" fillId="0" borderId="0" xfId="0" applyFont="1"/>
    <xf numFmtId="0" fontId="4" fillId="0" borderId="0" xfId="0" applyFont="1"/>
    <xf numFmtId="165" fontId="4" fillId="0" borderId="0" xfId="0" applyNumberFormat="1" applyFont="1"/>
    <xf numFmtId="164" fontId="4" fillId="0" borderId="0" xfId="0" applyNumberFormat="1" applyFont="1"/>
    <xf numFmtId="20" fontId="4" fillId="0" borderId="0" xfId="0" applyNumberFormat="1" applyFont="1"/>
    <xf numFmtId="0" fontId="5" fillId="0" borderId="0" xfId="0" applyFont="1"/>
    <xf numFmtId="164" fontId="4" fillId="0" borderId="0" xfId="0" quotePrefix="1" applyNumberFormat="1" applyFont="1"/>
    <xf numFmtId="14" fontId="4" fillId="0" borderId="0" xfId="0" applyNumberFormat="1" applyFont="1"/>
    <xf numFmtId="14" fontId="4" fillId="0" borderId="0" xfId="0" quotePrefix="1" applyNumberFormat="1" applyFont="1"/>
    <xf numFmtId="0" fontId="0" fillId="0" borderId="0" xfId="0" pivotButton="1"/>
    <xf numFmtId="0" fontId="0" fillId="0" borderId="0" xfId="0" applyAlignment="1">
      <alignment horizontal="left"/>
    </xf>
    <xf numFmtId="166" fontId="4" fillId="0" borderId="0" xfId="0" applyNumberFormat="1" applyFont="1"/>
    <xf numFmtId="166" fontId="0" fillId="0" borderId="0" xfId="0" applyNumberFormat="1"/>
    <xf numFmtId="166" fontId="0" fillId="0" borderId="0" xfId="0" applyNumberFormat="1" applyAlignment="1">
      <alignment horizontal="left"/>
    </xf>
    <xf numFmtId="0" fontId="6" fillId="0" borderId="0" xfId="0" applyFont="1"/>
    <xf numFmtId="0" fontId="7" fillId="0" borderId="0" xfId="0" applyFont="1"/>
    <xf numFmtId="9" fontId="5" fillId="0" borderId="0" xfId="0" applyNumberFormat="1" applyFont="1"/>
    <xf numFmtId="9" fontId="7" fillId="0" borderId="0" xfId="0" applyNumberFormat="1" applyFont="1"/>
  </cellXfs>
  <cellStyles count="1">
    <cellStyle name="Normal" xfId="0" builtinId="0"/>
  </cellStyles>
  <dxfs count="1">
    <dxf>
      <numFmt numFmtId="166" formatCode="m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Project_Restaurant Food Delivery Operations Dashboard.xlsx]Pivot Tables!PivotTable1</c:name>
    <c:fmtId val="1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10320071045527E-2"/>
          <c:y val="0.14124303992310944"/>
          <c:w val="0.7072063969946486"/>
          <c:h val="0.5400521034698309"/>
        </c:manualLayout>
      </c:layout>
      <c:lineChart>
        <c:grouping val="standard"/>
        <c:varyColors val="0"/>
        <c:ser>
          <c:idx val="0"/>
          <c:order val="0"/>
          <c:tx>
            <c:strRef>
              <c:f>'Pivot Tables'!$B$1:$B$2</c:f>
              <c:strCache>
                <c:ptCount val="1"/>
                <c:pt idx="0">
                  <c:v>AP02</c:v>
                </c:pt>
              </c:strCache>
            </c:strRef>
          </c:tx>
          <c:spPr>
            <a:ln w="28575" cap="rnd">
              <a:solidFill>
                <a:schemeClr val="accent1"/>
              </a:solidFill>
              <a:round/>
            </a:ln>
            <a:effectLst/>
          </c:spPr>
          <c:marker>
            <c:symbol val="none"/>
          </c:marker>
          <c:cat>
            <c:strRef>
              <c:f>'Pivot Tables'!$A$3:$A$10</c:f>
              <c:strCache>
                <c:ptCount val="7"/>
                <c:pt idx="0">
                  <c:v>01-01-2026</c:v>
                </c:pt>
                <c:pt idx="1">
                  <c:v>01-02-2026</c:v>
                </c:pt>
                <c:pt idx="2">
                  <c:v>01-03-2026</c:v>
                </c:pt>
                <c:pt idx="3">
                  <c:v>01-04-2026</c:v>
                </c:pt>
                <c:pt idx="4">
                  <c:v>01-05-2026</c:v>
                </c:pt>
                <c:pt idx="5">
                  <c:v>01-06-2026</c:v>
                </c:pt>
                <c:pt idx="6">
                  <c:v>01-07-2026</c:v>
                </c:pt>
              </c:strCache>
            </c:strRef>
          </c:cat>
          <c:val>
            <c:numRef>
              <c:f>'Pivot Tables'!$B$3:$B$10</c:f>
              <c:numCache>
                <c:formatCode>General</c:formatCode>
                <c:ptCount val="7"/>
                <c:pt idx="0">
                  <c:v>0</c:v>
                </c:pt>
                <c:pt idx="1">
                  <c:v>867</c:v>
                </c:pt>
                <c:pt idx="2">
                  <c:v>864</c:v>
                </c:pt>
                <c:pt idx="3">
                  <c:v>797</c:v>
                </c:pt>
                <c:pt idx="4">
                  <c:v>660</c:v>
                </c:pt>
                <c:pt idx="5">
                  <c:v>718</c:v>
                </c:pt>
                <c:pt idx="6">
                  <c:v>237</c:v>
                </c:pt>
              </c:numCache>
            </c:numRef>
          </c:val>
          <c:smooth val="0"/>
          <c:extLst>
            <c:ext xmlns:c16="http://schemas.microsoft.com/office/drawing/2014/chart" uri="{C3380CC4-5D6E-409C-BE32-E72D297353CC}">
              <c16:uniqueId val="{00000000-E15B-43E9-ABBD-89763BCCDCCF}"/>
            </c:ext>
          </c:extLst>
        </c:ser>
        <c:ser>
          <c:idx val="1"/>
          <c:order val="1"/>
          <c:tx>
            <c:strRef>
              <c:f>'Pivot Tables'!$C$1:$C$2</c:f>
              <c:strCache>
                <c:ptCount val="1"/>
                <c:pt idx="0">
                  <c:v>BLR01</c:v>
                </c:pt>
              </c:strCache>
            </c:strRef>
          </c:tx>
          <c:spPr>
            <a:ln w="28575" cap="rnd">
              <a:solidFill>
                <a:schemeClr val="accent2"/>
              </a:solidFill>
              <a:round/>
            </a:ln>
            <a:effectLst/>
          </c:spPr>
          <c:marker>
            <c:symbol val="none"/>
          </c:marker>
          <c:cat>
            <c:strRef>
              <c:f>'Pivot Tables'!$A$3:$A$10</c:f>
              <c:strCache>
                <c:ptCount val="7"/>
                <c:pt idx="0">
                  <c:v>01-01-2026</c:v>
                </c:pt>
                <c:pt idx="1">
                  <c:v>01-02-2026</c:v>
                </c:pt>
                <c:pt idx="2">
                  <c:v>01-03-2026</c:v>
                </c:pt>
                <c:pt idx="3">
                  <c:v>01-04-2026</c:v>
                </c:pt>
                <c:pt idx="4">
                  <c:v>01-05-2026</c:v>
                </c:pt>
                <c:pt idx="5">
                  <c:v>01-06-2026</c:v>
                </c:pt>
                <c:pt idx="6">
                  <c:v>01-07-2026</c:v>
                </c:pt>
              </c:strCache>
            </c:strRef>
          </c:cat>
          <c:val>
            <c:numRef>
              <c:f>'Pivot Tables'!$C$3:$C$10</c:f>
              <c:numCache>
                <c:formatCode>General</c:formatCode>
                <c:ptCount val="7"/>
                <c:pt idx="0">
                  <c:v>80</c:v>
                </c:pt>
                <c:pt idx="1">
                  <c:v>1959</c:v>
                </c:pt>
                <c:pt idx="2">
                  <c:v>2382</c:v>
                </c:pt>
                <c:pt idx="3">
                  <c:v>2014</c:v>
                </c:pt>
                <c:pt idx="4">
                  <c:v>1960</c:v>
                </c:pt>
                <c:pt idx="5">
                  <c:v>1645</c:v>
                </c:pt>
                <c:pt idx="6">
                  <c:v>465</c:v>
                </c:pt>
              </c:numCache>
            </c:numRef>
          </c:val>
          <c:smooth val="0"/>
          <c:extLst>
            <c:ext xmlns:c16="http://schemas.microsoft.com/office/drawing/2014/chart" uri="{C3380CC4-5D6E-409C-BE32-E72D297353CC}">
              <c16:uniqueId val="{00000000-C746-4679-A3FD-9713683BB9C5}"/>
            </c:ext>
          </c:extLst>
        </c:ser>
        <c:ser>
          <c:idx val="2"/>
          <c:order val="2"/>
          <c:tx>
            <c:strRef>
              <c:f>'Pivot Tables'!$D$1:$D$2</c:f>
              <c:strCache>
                <c:ptCount val="1"/>
                <c:pt idx="0">
                  <c:v>HYD10</c:v>
                </c:pt>
              </c:strCache>
            </c:strRef>
          </c:tx>
          <c:spPr>
            <a:ln w="28575" cap="rnd">
              <a:solidFill>
                <a:schemeClr val="accent3"/>
              </a:solidFill>
              <a:round/>
            </a:ln>
            <a:effectLst/>
          </c:spPr>
          <c:marker>
            <c:symbol val="none"/>
          </c:marker>
          <c:cat>
            <c:strRef>
              <c:f>'Pivot Tables'!$A$3:$A$10</c:f>
              <c:strCache>
                <c:ptCount val="7"/>
                <c:pt idx="0">
                  <c:v>01-01-2026</c:v>
                </c:pt>
                <c:pt idx="1">
                  <c:v>01-02-2026</c:v>
                </c:pt>
                <c:pt idx="2">
                  <c:v>01-03-2026</c:v>
                </c:pt>
                <c:pt idx="3">
                  <c:v>01-04-2026</c:v>
                </c:pt>
                <c:pt idx="4">
                  <c:v>01-05-2026</c:v>
                </c:pt>
                <c:pt idx="5">
                  <c:v>01-06-2026</c:v>
                </c:pt>
                <c:pt idx="6">
                  <c:v>01-07-2026</c:v>
                </c:pt>
              </c:strCache>
            </c:strRef>
          </c:cat>
          <c:val>
            <c:numRef>
              <c:f>'Pivot Tables'!$D$3:$D$10</c:f>
              <c:numCache>
                <c:formatCode>General</c:formatCode>
                <c:ptCount val="7"/>
                <c:pt idx="0">
                  <c:v>0</c:v>
                </c:pt>
                <c:pt idx="1">
                  <c:v>1070</c:v>
                </c:pt>
                <c:pt idx="2">
                  <c:v>880</c:v>
                </c:pt>
                <c:pt idx="3">
                  <c:v>1134</c:v>
                </c:pt>
                <c:pt idx="4">
                  <c:v>1354</c:v>
                </c:pt>
                <c:pt idx="5">
                  <c:v>1635</c:v>
                </c:pt>
                <c:pt idx="6">
                  <c:v>130</c:v>
                </c:pt>
              </c:numCache>
            </c:numRef>
          </c:val>
          <c:smooth val="0"/>
          <c:extLst>
            <c:ext xmlns:c16="http://schemas.microsoft.com/office/drawing/2014/chart" uri="{C3380CC4-5D6E-409C-BE32-E72D297353CC}">
              <c16:uniqueId val="{00000001-C746-4679-A3FD-9713683BB9C5}"/>
            </c:ext>
          </c:extLst>
        </c:ser>
        <c:ser>
          <c:idx val="3"/>
          <c:order val="3"/>
          <c:tx>
            <c:strRef>
              <c:f>'Pivot Tables'!$E$1:$E$2</c:f>
              <c:strCache>
                <c:ptCount val="1"/>
                <c:pt idx="0">
                  <c:v>KL02</c:v>
                </c:pt>
              </c:strCache>
            </c:strRef>
          </c:tx>
          <c:spPr>
            <a:ln w="28575" cap="rnd">
              <a:solidFill>
                <a:schemeClr val="accent4"/>
              </a:solidFill>
              <a:round/>
            </a:ln>
            <a:effectLst/>
          </c:spPr>
          <c:marker>
            <c:symbol val="none"/>
          </c:marker>
          <c:cat>
            <c:strRef>
              <c:f>'Pivot Tables'!$A$3:$A$10</c:f>
              <c:strCache>
                <c:ptCount val="7"/>
                <c:pt idx="0">
                  <c:v>01-01-2026</c:v>
                </c:pt>
                <c:pt idx="1">
                  <c:v>01-02-2026</c:v>
                </c:pt>
                <c:pt idx="2">
                  <c:v>01-03-2026</c:v>
                </c:pt>
                <c:pt idx="3">
                  <c:v>01-04-2026</c:v>
                </c:pt>
                <c:pt idx="4">
                  <c:v>01-05-2026</c:v>
                </c:pt>
                <c:pt idx="5">
                  <c:v>01-06-2026</c:v>
                </c:pt>
                <c:pt idx="6">
                  <c:v>01-07-2026</c:v>
                </c:pt>
              </c:strCache>
            </c:strRef>
          </c:cat>
          <c:val>
            <c:numRef>
              <c:f>'Pivot Tables'!$E$3:$E$10</c:f>
              <c:numCache>
                <c:formatCode>General</c:formatCode>
                <c:ptCount val="7"/>
                <c:pt idx="0">
                  <c:v>127</c:v>
                </c:pt>
                <c:pt idx="1">
                  <c:v>750</c:v>
                </c:pt>
                <c:pt idx="2">
                  <c:v>1064</c:v>
                </c:pt>
                <c:pt idx="3">
                  <c:v>989</c:v>
                </c:pt>
                <c:pt idx="4">
                  <c:v>1148</c:v>
                </c:pt>
                <c:pt idx="5">
                  <c:v>989</c:v>
                </c:pt>
                <c:pt idx="6">
                  <c:v>386</c:v>
                </c:pt>
              </c:numCache>
            </c:numRef>
          </c:val>
          <c:smooth val="0"/>
          <c:extLst>
            <c:ext xmlns:c16="http://schemas.microsoft.com/office/drawing/2014/chart" uri="{C3380CC4-5D6E-409C-BE32-E72D297353CC}">
              <c16:uniqueId val="{00000002-C746-4679-A3FD-9713683BB9C5}"/>
            </c:ext>
          </c:extLst>
        </c:ser>
        <c:ser>
          <c:idx val="4"/>
          <c:order val="4"/>
          <c:tx>
            <c:strRef>
              <c:f>'Pivot Tables'!$F$1:$F$2</c:f>
              <c:strCache>
                <c:ptCount val="1"/>
                <c:pt idx="0">
                  <c:v>TN12</c:v>
                </c:pt>
              </c:strCache>
            </c:strRef>
          </c:tx>
          <c:spPr>
            <a:ln w="28575" cap="rnd">
              <a:solidFill>
                <a:schemeClr val="accent5"/>
              </a:solidFill>
              <a:round/>
            </a:ln>
            <a:effectLst/>
          </c:spPr>
          <c:marker>
            <c:symbol val="none"/>
          </c:marker>
          <c:cat>
            <c:strRef>
              <c:f>'Pivot Tables'!$A$3:$A$10</c:f>
              <c:strCache>
                <c:ptCount val="7"/>
                <c:pt idx="0">
                  <c:v>01-01-2026</c:v>
                </c:pt>
                <c:pt idx="1">
                  <c:v>01-02-2026</c:v>
                </c:pt>
                <c:pt idx="2">
                  <c:v>01-03-2026</c:v>
                </c:pt>
                <c:pt idx="3">
                  <c:v>01-04-2026</c:v>
                </c:pt>
                <c:pt idx="4">
                  <c:v>01-05-2026</c:v>
                </c:pt>
                <c:pt idx="5">
                  <c:v>01-06-2026</c:v>
                </c:pt>
                <c:pt idx="6">
                  <c:v>01-07-2026</c:v>
                </c:pt>
              </c:strCache>
            </c:strRef>
          </c:cat>
          <c:val>
            <c:numRef>
              <c:f>'Pivot Tables'!$F$3:$F$10</c:f>
              <c:numCache>
                <c:formatCode>General</c:formatCode>
                <c:ptCount val="7"/>
                <c:pt idx="0">
                  <c:v>0</c:v>
                </c:pt>
                <c:pt idx="1">
                  <c:v>1191</c:v>
                </c:pt>
                <c:pt idx="2">
                  <c:v>1155</c:v>
                </c:pt>
                <c:pt idx="3">
                  <c:v>879</c:v>
                </c:pt>
                <c:pt idx="4">
                  <c:v>884</c:v>
                </c:pt>
                <c:pt idx="5">
                  <c:v>880</c:v>
                </c:pt>
                <c:pt idx="6">
                  <c:v>212</c:v>
                </c:pt>
              </c:numCache>
            </c:numRef>
          </c:val>
          <c:smooth val="0"/>
          <c:extLst>
            <c:ext xmlns:c16="http://schemas.microsoft.com/office/drawing/2014/chart" uri="{C3380CC4-5D6E-409C-BE32-E72D297353CC}">
              <c16:uniqueId val="{00000003-C746-4679-A3FD-9713683BB9C5}"/>
            </c:ext>
          </c:extLst>
        </c:ser>
        <c:dLbls>
          <c:showLegendKey val="0"/>
          <c:showVal val="0"/>
          <c:showCatName val="0"/>
          <c:showSerName val="0"/>
          <c:showPercent val="0"/>
          <c:showBubbleSize val="0"/>
        </c:dLbls>
        <c:smooth val="0"/>
        <c:axId val="1153478576"/>
        <c:axId val="1153462736"/>
      </c:lineChart>
      <c:catAx>
        <c:axId val="115347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462736"/>
        <c:crosses val="autoZero"/>
        <c:auto val="1"/>
        <c:lblAlgn val="ctr"/>
        <c:lblOffset val="100"/>
        <c:noMultiLvlLbl val="0"/>
      </c:catAx>
      <c:valAx>
        <c:axId val="115346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47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Project_Restaurant Food Delivery Operations Dashboard.xlsx]Pivot Tables!PivotTable3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Tables'!$K$1</c:f>
              <c:strCache>
                <c:ptCount val="1"/>
                <c:pt idx="0">
                  <c:v>Total</c:v>
                </c:pt>
              </c:strCache>
            </c:strRef>
          </c:tx>
          <c:spPr>
            <a:solidFill>
              <a:schemeClr val="accent1"/>
            </a:solidFill>
            <a:ln>
              <a:noFill/>
            </a:ln>
            <a:effectLst/>
          </c:spPr>
          <c:invertIfNegative val="0"/>
          <c:cat>
            <c:strRef>
              <c:f>'Pivot Tables'!$J$2:$J$7</c:f>
              <c:strCache>
                <c:ptCount val="5"/>
                <c:pt idx="0">
                  <c:v>AP02</c:v>
                </c:pt>
                <c:pt idx="1">
                  <c:v>BLR01</c:v>
                </c:pt>
                <c:pt idx="2">
                  <c:v>HYD10</c:v>
                </c:pt>
                <c:pt idx="3">
                  <c:v>KL02</c:v>
                </c:pt>
                <c:pt idx="4">
                  <c:v>TN12</c:v>
                </c:pt>
              </c:strCache>
            </c:strRef>
          </c:cat>
          <c:val>
            <c:numRef>
              <c:f>'Pivot Tables'!$K$2:$K$7</c:f>
              <c:numCache>
                <c:formatCode>0.0</c:formatCode>
                <c:ptCount val="5"/>
                <c:pt idx="0">
                  <c:v>2.9523809523809526</c:v>
                </c:pt>
                <c:pt idx="1">
                  <c:v>3.2641509433962264</c:v>
                </c:pt>
                <c:pt idx="2">
                  <c:v>2.9090909090909092</c:v>
                </c:pt>
                <c:pt idx="3">
                  <c:v>3.3448275862068964</c:v>
                </c:pt>
                <c:pt idx="4">
                  <c:v>3.1666666666666665</c:v>
                </c:pt>
              </c:numCache>
            </c:numRef>
          </c:val>
          <c:extLst>
            <c:ext xmlns:c16="http://schemas.microsoft.com/office/drawing/2014/chart" uri="{C3380CC4-5D6E-409C-BE32-E72D297353CC}">
              <c16:uniqueId val="{00000000-79CA-4C5F-9D85-AF73D088098F}"/>
            </c:ext>
          </c:extLst>
        </c:ser>
        <c:dLbls>
          <c:showLegendKey val="0"/>
          <c:showVal val="0"/>
          <c:showCatName val="0"/>
          <c:showSerName val="0"/>
          <c:showPercent val="0"/>
          <c:showBubbleSize val="0"/>
        </c:dLbls>
        <c:gapWidth val="219"/>
        <c:overlap val="-27"/>
        <c:axId val="1153463216"/>
        <c:axId val="1153465136"/>
      </c:barChart>
      <c:catAx>
        <c:axId val="115346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465136"/>
        <c:crosses val="autoZero"/>
        <c:auto val="1"/>
        <c:lblAlgn val="ctr"/>
        <c:lblOffset val="100"/>
        <c:noMultiLvlLbl val="0"/>
      </c:catAx>
      <c:valAx>
        <c:axId val="11534651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46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Project_Restaurant Food Delivery Operations Dashboard.xlsx]Pivot Tables!PivotTable4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Tables'!$J$18:$J$19</c:f>
              <c:strCache>
                <c:ptCount val="1"/>
                <c:pt idx="0">
                  <c:v>Fast</c:v>
                </c:pt>
              </c:strCache>
            </c:strRef>
          </c:tx>
          <c:spPr>
            <a:solidFill>
              <a:schemeClr val="accent1"/>
            </a:solidFill>
            <a:ln>
              <a:noFill/>
            </a:ln>
            <a:effectLst/>
          </c:spPr>
          <c:invertIfNegative val="0"/>
          <c:cat>
            <c:strRef>
              <c:f>'Pivot Tables'!$I$20:$I$27</c:f>
              <c:strCache>
                <c:ptCount val="7"/>
                <c:pt idx="0">
                  <c:v>Monday</c:v>
                </c:pt>
                <c:pt idx="1">
                  <c:v>Tuesday</c:v>
                </c:pt>
                <c:pt idx="2">
                  <c:v>Wednesday</c:v>
                </c:pt>
                <c:pt idx="3">
                  <c:v>Thursday</c:v>
                </c:pt>
                <c:pt idx="4">
                  <c:v>Friday</c:v>
                </c:pt>
                <c:pt idx="5">
                  <c:v>Saturday</c:v>
                </c:pt>
                <c:pt idx="6">
                  <c:v>Sunday</c:v>
                </c:pt>
              </c:strCache>
            </c:strRef>
          </c:cat>
          <c:val>
            <c:numRef>
              <c:f>'Pivot Tables'!$J$20:$J$27</c:f>
              <c:numCache>
                <c:formatCode>General</c:formatCode>
                <c:ptCount val="7"/>
                <c:pt idx="0">
                  <c:v>10</c:v>
                </c:pt>
                <c:pt idx="1">
                  <c:v>10</c:v>
                </c:pt>
                <c:pt idx="2">
                  <c:v>11</c:v>
                </c:pt>
                <c:pt idx="3">
                  <c:v>11</c:v>
                </c:pt>
                <c:pt idx="4">
                  <c:v>11</c:v>
                </c:pt>
                <c:pt idx="5">
                  <c:v>8</c:v>
                </c:pt>
                <c:pt idx="6">
                  <c:v>11</c:v>
                </c:pt>
              </c:numCache>
            </c:numRef>
          </c:val>
          <c:extLst>
            <c:ext xmlns:c16="http://schemas.microsoft.com/office/drawing/2014/chart" uri="{C3380CC4-5D6E-409C-BE32-E72D297353CC}">
              <c16:uniqueId val="{00000000-DF7B-4823-BF75-212B4F8BD346}"/>
            </c:ext>
          </c:extLst>
        </c:ser>
        <c:ser>
          <c:idx val="1"/>
          <c:order val="1"/>
          <c:tx>
            <c:strRef>
              <c:f>'Pivot Tables'!$K$18:$K$19</c:f>
              <c:strCache>
                <c:ptCount val="1"/>
                <c:pt idx="0">
                  <c:v>Normal</c:v>
                </c:pt>
              </c:strCache>
            </c:strRef>
          </c:tx>
          <c:spPr>
            <a:solidFill>
              <a:schemeClr val="accent2"/>
            </a:solidFill>
            <a:ln>
              <a:noFill/>
            </a:ln>
            <a:effectLst/>
          </c:spPr>
          <c:invertIfNegative val="0"/>
          <c:cat>
            <c:strRef>
              <c:f>'Pivot Tables'!$I$20:$I$27</c:f>
              <c:strCache>
                <c:ptCount val="7"/>
                <c:pt idx="0">
                  <c:v>Monday</c:v>
                </c:pt>
                <c:pt idx="1">
                  <c:v>Tuesday</c:v>
                </c:pt>
                <c:pt idx="2">
                  <c:v>Wednesday</c:v>
                </c:pt>
                <c:pt idx="3">
                  <c:v>Thursday</c:v>
                </c:pt>
                <c:pt idx="4">
                  <c:v>Friday</c:v>
                </c:pt>
                <c:pt idx="5">
                  <c:v>Saturday</c:v>
                </c:pt>
                <c:pt idx="6">
                  <c:v>Sunday</c:v>
                </c:pt>
              </c:strCache>
            </c:strRef>
          </c:cat>
          <c:val>
            <c:numRef>
              <c:f>'Pivot Tables'!$K$20:$K$27</c:f>
              <c:numCache>
                <c:formatCode>General</c:formatCode>
                <c:ptCount val="7"/>
                <c:pt idx="0">
                  <c:v>9</c:v>
                </c:pt>
                <c:pt idx="1">
                  <c:v>12</c:v>
                </c:pt>
                <c:pt idx="2">
                  <c:v>10</c:v>
                </c:pt>
                <c:pt idx="3">
                  <c:v>8</c:v>
                </c:pt>
                <c:pt idx="4">
                  <c:v>10</c:v>
                </c:pt>
                <c:pt idx="5">
                  <c:v>9</c:v>
                </c:pt>
                <c:pt idx="6">
                  <c:v>7</c:v>
                </c:pt>
              </c:numCache>
            </c:numRef>
          </c:val>
          <c:extLst>
            <c:ext xmlns:c16="http://schemas.microsoft.com/office/drawing/2014/chart" uri="{C3380CC4-5D6E-409C-BE32-E72D297353CC}">
              <c16:uniqueId val="{00000000-3D30-42A5-9A3A-ED2CF8156E4C}"/>
            </c:ext>
          </c:extLst>
        </c:ser>
        <c:ser>
          <c:idx val="2"/>
          <c:order val="2"/>
          <c:tx>
            <c:strRef>
              <c:f>'Pivot Tables'!$L$18:$L$19</c:f>
              <c:strCache>
                <c:ptCount val="1"/>
                <c:pt idx="0">
                  <c:v>Slow</c:v>
                </c:pt>
              </c:strCache>
            </c:strRef>
          </c:tx>
          <c:spPr>
            <a:solidFill>
              <a:schemeClr val="accent3"/>
            </a:solidFill>
            <a:ln>
              <a:noFill/>
            </a:ln>
            <a:effectLst/>
          </c:spPr>
          <c:invertIfNegative val="0"/>
          <c:cat>
            <c:strRef>
              <c:f>'Pivot Tables'!$I$20:$I$27</c:f>
              <c:strCache>
                <c:ptCount val="7"/>
                <c:pt idx="0">
                  <c:v>Monday</c:v>
                </c:pt>
                <c:pt idx="1">
                  <c:v>Tuesday</c:v>
                </c:pt>
                <c:pt idx="2">
                  <c:v>Wednesday</c:v>
                </c:pt>
                <c:pt idx="3">
                  <c:v>Thursday</c:v>
                </c:pt>
                <c:pt idx="4">
                  <c:v>Friday</c:v>
                </c:pt>
                <c:pt idx="5">
                  <c:v>Saturday</c:v>
                </c:pt>
                <c:pt idx="6">
                  <c:v>Sunday</c:v>
                </c:pt>
              </c:strCache>
            </c:strRef>
          </c:cat>
          <c:val>
            <c:numRef>
              <c:f>'Pivot Tables'!$L$20:$L$27</c:f>
              <c:numCache>
                <c:formatCode>General</c:formatCode>
                <c:ptCount val="7"/>
                <c:pt idx="0">
                  <c:v>4</c:v>
                </c:pt>
                <c:pt idx="1">
                  <c:v>2</c:v>
                </c:pt>
                <c:pt idx="2">
                  <c:v>2</c:v>
                </c:pt>
                <c:pt idx="3">
                  <c:v>5</c:v>
                </c:pt>
                <c:pt idx="4">
                  <c:v>1</c:v>
                </c:pt>
                <c:pt idx="5">
                  <c:v>5</c:v>
                </c:pt>
                <c:pt idx="6">
                  <c:v>4</c:v>
                </c:pt>
              </c:numCache>
            </c:numRef>
          </c:val>
          <c:extLst>
            <c:ext xmlns:c16="http://schemas.microsoft.com/office/drawing/2014/chart" uri="{C3380CC4-5D6E-409C-BE32-E72D297353CC}">
              <c16:uniqueId val="{00000001-3D30-42A5-9A3A-ED2CF8156E4C}"/>
            </c:ext>
          </c:extLst>
        </c:ser>
        <c:dLbls>
          <c:showLegendKey val="0"/>
          <c:showVal val="0"/>
          <c:showCatName val="0"/>
          <c:showSerName val="0"/>
          <c:showPercent val="0"/>
          <c:showBubbleSize val="0"/>
        </c:dLbls>
        <c:gapWidth val="150"/>
        <c:overlap val="100"/>
        <c:axId val="1153469936"/>
        <c:axId val="1153470416"/>
      </c:barChart>
      <c:catAx>
        <c:axId val="115346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470416"/>
        <c:crosses val="autoZero"/>
        <c:auto val="1"/>
        <c:lblAlgn val="ctr"/>
        <c:lblOffset val="100"/>
        <c:noMultiLvlLbl val="0"/>
      </c:catAx>
      <c:valAx>
        <c:axId val="1153470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46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Project_Restaurant Food Delivery Operations Dashboard.xlsx]Pivot Tables!PivotTable2</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Tables'!$B$19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B8-44C6-BA53-10A3448EF8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B8-44C6-BA53-10A3448EF8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B8-44C6-BA53-10A3448EF8E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6B8-44C6-BA53-10A3448EF8E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6B8-44C6-BA53-10A3448EF8E4}"/>
              </c:ext>
            </c:extLst>
          </c:dPt>
          <c:cat>
            <c:strRef>
              <c:f>'Pivot Tables'!$A$20:$A$25</c:f>
              <c:strCache>
                <c:ptCount val="5"/>
                <c:pt idx="0">
                  <c:v>Chinese</c:v>
                </c:pt>
                <c:pt idx="1">
                  <c:v>Deserts/Bakery</c:v>
                </c:pt>
                <c:pt idx="2">
                  <c:v>Fast Food</c:v>
                </c:pt>
                <c:pt idx="3">
                  <c:v>North Indian</c:v>
                </c:pt>
                <c:pt idx="4">
                  <c:v>South Indian</c:v>
                </c:pt>
              </c:strCache>
            </c:strRef>
          </c:cat>
          <c:val>
            <c:numRef>
              <c:f>'Pivot Tables'!$B$20:$B$25</c:f>
              <c:numCache>
                <c:formatCode>General</c:formatCode>
                <c:ptCount val="5"/>
                <c:pt idx="0">
                  <c:v>24</c:v>
                </c:pt>
                <c:pt idx="1">
                  <c:v>27</c:v>
                </c:pt>
                <c:pt idx="2">
                  <c:v>37</c:v>
                </c:pt>
                <c:pt idx="3">
                  <c:v>37</c:v>
                </c:pt>
                <c:pt idx="4">
                  <c:v>35</c:v>
                </c:pt>
              </c:numCache>
            </c:numRef>
          </c:val>
          <c:extLst>
            <c:ext xmlns:c16="http://schemas.microsoft.com/office/drawing/2014/chart" uri="{C3380CC4-5D6E-409C-BE32-E72D297353CC}">
              <c16:uniqueId val="{0000000A-46B8-44C6-BA53-10A3448EF8E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56444</xdr:rowOff>
    </xdr:from>
    <xdr:to>
      <xdr:col>8</xdr:col>
      <xdr:colOff>508000</xdr:colOff>
      <xdr:row>23</xdr:row>
      <xdr:rowOff>211667</xdr:rowOff>
    </xdr:to>
    <xdr:graphicFrame macro="">
      <xdr:nvGraphicFramePr>
        <xdr:cNvPr id="3" name="Chart 2">
          <a:extLst>
            <a:ext uri="{FF2B5EF4-FFF2-40B4-BE49-F238E27FC236}">
              <a16:creationId xmlns:a16="http://schemas.microsoft.com/office/drawing/2014/main" id="{EB75B523-8299-42E9-99AB-0453A89AD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50800</xdr:colOff>
      <xdr:row>17</xdr:row>
      <xdr:rowOff>95250</xdr:rowOff>
    </xdr:from>
    <xdr:to>
      <xdr:col>0</xdr:col>
      <xdr:colOff>1549400</xdr:colOff>
      <xdr:row>18</xdr:row>
      <xdr:rowOff>152400</xdr:rowOff>
    </xdr:to>
    <xdr:sp macro="" textlink="">
      <xdr:nvSpPr>
        <xdr:cNvPr id="4" name="TextBox 3">
          <a:extLst>
            <a:ext uri="{FF2B5EF4-FFF2-40B4-BE49-F238E27FC236}">
              <a16:creationId xmlns:a16="http://schemas.microsoft.com/office/drawing/2014/main" id="{41A90A4E-7DBD-6A02-CA0A-9E0FAD7CFE71}"/>
            </a:ext>
          </a:extLst>
        </xdr:cNvPr>
        <xdr:cNvSpPr txBox="1"/>
      </xdr:nvSpPr>
      <xdr:spPr>
        <a:xfrm>
          <a:off x="50800" y="3225800"/>
          <a:ext cx="14986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latin typeface="Times New Roman" panose="02020603050405020304" pitchFamily="18" charset="0"/>
              <a:cs typeface="Times New Roman" panose="02020603050405020304" pitchFamily="18" charset="0"/>
            </a:rPr>
            <a:t>X-axis: Jan–Jul 2026</a:t>
          </a:r>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0</xdr:col>
      <xdr:colOff>239889</xdr:colOff>
      <xdr:row>25</xdr:row>
      <xdr:rowOff>147460</xdr:rowOff>
    </xdr:from>
    <xdr:to>
      <xdr:col>8</xdr:col>
      <xdr:colOff>169334</xdr:colOff>
      <xdr:row>50</xdr:row>
      <xdr:rowOff>56444</xdr:rowOff>
    </xdr:to>
    <xdr:graphicFrame macro="">
      <xdr:nvGraphicFramePr>
        <xdr:cNvPr id="6" name="Chart 5">
          <a:extLst>
            <a:ext uri="{FF2B5EF4-FFF2-40B4-BE49-F238E27FC236}">
              <a16:creationId xmlns:a16="http://schemas.microsoft.com/office/drawing/2014/main" id="{9A73F2AD-4946-4711-BC82-35135DBD8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34389</xdr:colOff>
      <xdr:row>24</xdr:row>
      <xdr:rowOff>148769</xdr:rowOff>
    </xdr:from>
    <xdr:to>
      <xdr:col>24</xdr:col>
      <xdr:colOff>592667</xdr:colOff>
      <xdr:row>48</xdr:row>
      <xdr:rowOff>98777</xdr:rowOff>
    </xdr:to>
    <xdr:graphicFrame macro="">
      <xdr:nvGraphicFramePr>
        <xdr:cNvPr id="7" name="Chart 6">
          <a:extLst>
            <a:ext uri="{FF2B5EF4-FFF2-40B4-BE49-F238E27FC236}">
              <a16:creationId xmlns:a16="http://schemas.microsoft.com/office/drawing/2014/main" id="{38E4E587-7142-456C-9B80-52D39D5022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377928</xdr:colOff>
      <xdr:row>14</xdr:row>
      <xdr:rowOff>10608</xdr:rowOff>
    </xdr:from>
    <xdr:to>
      <xdr:col>12</xdr:col>
      <xdr:colOff>451354</xdr:colOff>
      <xdr:row>27</xdr:row>
      <xdr:rowOff>51776</xdr:rowOff>
    </xdr:to>
    <mc:AlternateContent xmlns:mc="http://schemas.openxmlformats.org/markup-compatibility/2006">
      <mc:Choice xmlns:a14="http://schemas.microsoft.com/office/drawing/2010/main" Requires="a14">
        <xdr:graphicFrame macro="">
          <xdr:nvGraphicFramePr>
            <xdr:cNvPr id="8" name="Branch_code">
              <a:extLst>
                <a:ext uri="{FF2B5EF4-FFF2-40B4-BE49-F238E27FC236}">
                  <a16:creationId xmlns:a16="http://schemas.microsoft.com/office/drawing/2014/main" id="{A6C0A245-AEE5-10A7-AD88-1EA2F2F3C5D6}"/>
                </a:ext>
              </a:extLst>
            </xdr:cNvPr>
            <xdr:cNvGraphicFramePr/>
          </xdr:nvGraphicFramePr>
          <xdr:xfrm>
            <a:off x="0" y="0"/>
            <a:ext cx="0" cy="0"/>
          </xdr:xfrm>
          <a:graphic>
            <a:graphicData uri="http://schemas.microsoft.com/office/drawing/2010/slicer">
              <sle:slicer xmlns:sle="http://schemas.microsoft.com/office/drawing/2010/slicer" name="Branch_code"/>
            </a:graphicData>
          </a:graphic>
        </xdr:graphicFrame>
      </mc:Choice>
      <mc:Fallback>
        <xdr:sp macro="" textlink="">
          <xdr:nvSpPr>
            <xdr:cNvPr id="0" name=""/>
            <xdr:cNvSpPr>
              <a:spLocks noTextEdit="1"/>
            </xdr:cNvSpPr>
          </xdr:nvSpPr>
          <xdr:spPr>
            <a:xfrm>
              <a:off x="10890706" y="2719941"/>
              <a:ext cx="1823204" cy="25670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1228</xdr:colOff>
      <xdr:row>1</xdr:row>
      <xdr:rowOff>69329</xdr:rowOff>
    </xdr:from>
    <xdr:to>
      <xdr:col>24</xdr:col>
      <xdr:colOff>592667</xdr:colOff>
      <xdr:row>21</xdr:row>
      <xdr:rowOff>155222</xdr:rowOff>
    </xdr:to>
    <xdr:graphicFrame macro="">
      <xdr:nvGraphicFramePr>
        <xdr:cNvPr id="15" name="Chart 14">
          <a:extLst>
            <a:ext uri="{FF2B5EF4-FFF2-40B4-BE49-F238E27FC236}">
              <a16:creationId xmlns:a16="http://schemas.microsoft.com/office/drawing/2014/main" id="{9145871F-B541-45BB-9B22-F410D0A23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1597716</xdr:colOff>
      <xdr:row>14</xdr:row>
      <xdr:rowOff>17459</xdr:rowOff>
    </xdr:from>
    <xdr:to>
      <xdr:col>11</xdr:col>
      <xdr:colOff>300206</xdr:colOff>
      <xdr:row>27</xdr:row>
      <xdr:rowOff>58627</xdr:rowOff>
    </xdr:to>
    <mc:AlternateContent xmlns:mc="http://schemas.openxmlformats.org/markup-compatibility/2006">
      <mc:Choice xmlns:a14="http://schemas.microsoft.com/office/drawing/2010/main" Requires="a14">
        <xdr:graphicFrame macro="">
          <xdr:nvGraphicFramePr>
            <xdr:cNvPr id="17" name="Delivery_Status 1">
              <a:extLst>
                <a:ext uri="{FF2B5EF4-FFF2-40B4-BE49-F238E27FC236}">
                  <a16:creationId xmlns:a16="http://schemas.microsoft.com/office/drawing/2014/main" id="{99C8C8C1-06F3-8537-0FE2-AAA63F704ACC}"/>
                </a:ext>
              </a:extLst>
            </xdr:cNvPr>
            <xdr:cNvGraphicFramePr/>
          </xdr:nvGraphicFramePr>
          <xdr:xfrm>
            <a:off x="0" y="0"/>
            <a:ext cx="0" cy="0"/>
          </xdr:xfrm>
          <a:graphic>
            <a:graphicData uri="http://schemas.microsoft.com/office/drawing/2010/slicer">
              <sle:slicer xmlns:sle="http://schemas.microsoft.com/office/drawing/2010/slicer" name="Delivery_Status 1"/>
            </a:graphicData>
          </a:graphic>
        </xdr:graphicFrame>
      </mc:Choice>
      <mc:Fallback>
        <xdr:sp macro="" textlink="">
          <xdr:nvSpPr>
            <xdr:cNvPr id="0" name=""/>
            <xdr:cNvSpPr>
              <a:spLocks noTextEdit="1"/>
            </xdr:cNvSpPr>
          </xdr:nvSpPr>
          <xdr:spPr>
            <a:xfrm>
              <a:off x="8991938" y="2726792"/>
              <a:ext cx="1821046" cy="25670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67.683760995373" createdVersion="8" refreshedVersion="8" minRefreshableVersion="3" recordCount="160" xr:uid="{66512E76-3B7F-4B13-BC50-8D8B022F4F1D}">
  <cacheSource type="worksheet">
    <worksheetSource ref="A1:R161" sheet="Clean_Data"/>
  </cacheSource>
  <cacheFields count="18">
    <cacheField name="Order_ID" numFmtId="0">
      <sharedItems/>
    </cacheField>
    <cacheField name="Order_Date" numFmtId="164">
      <sharedItems containsSemiMixedTypes="0" containsNonDate="0" containsDate="1" containsString="0" minDate="2026-01-05T00:00:00" maxDate="2026-07-09T00:00:00"/>
    </cacheField>
    <cacheField name="Order_Time" numFmtId="20">
      <sharedItems containsSemiMixedTypes="0" containsNonDate="0" containsDate="1" containsString="0" minDate="1899-12-30T08:30:00" maxDate="1899-12-30T22:10:00"/>
    </cacheField>
    <cacheField name="Branch_code" numFmtId="0">
      <sharedItems count="5">
        <s v="BLR01"/>
        <s v="KL02"/>
        <s v="HYD10"/>
        <s v="AP02"/>
        <s v="TN12"/>
      </sharedItems>
    </cacheField>
    <cacheField name="Cuisine" numFmtId="0">
      <sharedItems count="5">
        <s v="South Indian"/>
        <s v="Fast Food"/>
        <s v="North Indian"/>
        <s v="Chinese"/>
        <s v="Deserts/Bakery"/>
      </sharedItems>
    </cacheField>
    <cacheField name="Item_Name" numFmtId="0">
      <sharedItems/>
    </cacheField>
    <cacheField name="Customer_Name" numFmtId="0">
      <sharedItems/>
    </cacheField>
    <cacheField name="Order_Value" numFmtId="0">
      <sharedItems containsSemiMixedTypes="0" containsString="0" containsNumber="1" containsInteger="1" minValue="80" maxValue="300"/>
    </cacheField>
    <cacheField name="Delivery_Time_Min" numFmtId="0">
      <sharedItems containsSemiMixedTypes="0" containsString="0" containsNumber="1" containsInteger="1" minValue="10" maxValue="229"/>
    </cacheField>
    <cacheField name="Rating" numFmtId="0">
      <sharedItems containsSemiMixedTypes="0" containsString="0" containsNumber="1" containsInteger="1" minValue="1" maxValue="5"/>
    </cacheField>
    <cacheField name="Payment_Mode" numFmtId="0">
      <sharedItems/>
    </cacheField>
    <cacheField name="Correct_Cuisine" numFmtId="0">
      <sharedItems count="5">
        <s v="South Indian"/>
        <s v="Fast Food"/>
        <s v="North Indian"/>
        <s v="Chinese"/>
        <s v="Deserts/Bakery"/>
      </sharedItems>
    </cacheField>
    <cacheField name="Clean_Customer_Name" numFmtId="0">
      <sharedItems/>
    </cacheField>
    <cacheField name="City" numFmtId="0">
      <sharedItems/>
    </cacheField>
    <cacheField name="Order_Day" numFmtId="0">
      <sharedItems count="7">
        <s v="Monday"/>
        <s v="Tuesday"/>
        <s v="Wednesday"/>
        <s v="Thursday"/>
        <s v="Friday"/>
        <s v="Saturday"/>
        <s v="Sunday"/>
      </sharedItems>
    </cacheField>
    <cacheField name="Order_Month" numFmtId="166">
      <sharedItems containsSemiMixedTypes="0" containsNonDate="0" containsDate="1" containsString="0" minDate="2026-01-01T00:00:00" maxDate="2026-07-02T00:00:00" count="7">
        <d v="2026-01-01T00:00:00"/>
        <d v="2026-02-01T00:00:00"/>
        <d v="2026-03-01T00:00:00"/>
        <d v="2026-04-01T00:00:00"/>
        <d v="2026-05-01T00:00:00"/>
        <d v="2026-06-01T00:00:00"/>
        <d v="2026-07-01T00:00:00"/>
      </sharedItems>
    </cacheField>
    <cacheField name="Delivery_Status" numFmtId="0">
      <sharedItems count="3">
        <s v="Normal"/>
        <s v="Fast"/>
        <s v="Slow"/>
      </sharedItems>
    </cacheField>
    <cacheField name="Rating_Category" numFmtId="0">
      <sharedItems/>
    </cacheField>
  </cacheFields>
  <extLst>
    <ext xmlns:x14="http://schemas.microsoft.com/office/spreadsheetml/2009/9/main" uri="{725AE2AE-9491-48be-B2B4-4EB974FC3084}">
      <x14:pivotCacheDefinition pivotCacheId="10435349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
  <r>
    <s v="ORD1001"/>
    <d v="2026-01-05T00:00:00"/>
    <d v="1899-12-30T08:30:00"/>
    <x v="0"/>
    <x v="0"/>
    <s v="Masala Dosa"/>
    <s v="Nithya"/>
    <n v="80"/>
    <n v="30"/>
    <n v="4"/>
    <s v="UPI"/>
    <x v="0"/>
    <s v="Nithya"/>
    <s v="Bengaluru"/>
    <x v="0"/>
    <x v="0"/>
    <x v="0"/>
    <s v="Good"/>
  </r>
  <r>
    <s v="ORD1002"/>
    <d v="2026-01-05T00:00:00"/>
    <d v="1899-12-30T09:45:00"/>
    <x v="1"/>
    <x v="1"/>
    <s v="Chicken Burger"/>
    <s v="Seetha"/>
    <n v="127"/>
    <n v="23"/>
    <n v="2"/>
    <s v="Cash"/>
    <x v="1"/>
    <s v="Seetha"/>
    <s v="Kochi"/>
    <x v="0"/>
    <x v="0"/>
    <x v="0"/>
    <s v="Needs Improvement"/>
  </r>
  <r>
    <s v="ORD1003"/>
    <d v="2026-02-03T00:00:00"/>
    <d v="1899-12-30T10:03:00"/>
    <x v="2"/>
    <x v="2"/>
    <s v="Butter Chicken"/>
    <s v="Geetha"/>
    <n v="229"/>
    <n v="15"/>
    <n v="3"/>
    <s v="Credit/Debit Card"/>
    <x v="2"/>
    <s v="Geetha"/>
    <s v="Hyderabad"/>
    <x v="1"/>
    <x v="1"/>
    <x v="1"/>
    <s v="Needs Improvement"/>
  </r>
  <r>
    <s v="ORD1004"/>
    <d v="2026-02-04T00:00:00"/>
    <d v="1899-12-30T11:00:00"/>
    <x v="3"/>
    <x v="3"/>
    <s v="Manchurian Rice"/>
    <s v="Ramya"/>
    <n v="175"/>
    <n v="12"/>
    <n v="1"/>
    <s v="UPI"/>
    <x v="3"/>
    <s v="Ramya"/>
    <s v="Vijaywada"/>
    <x v="2"/>
    <x v="1"/>
    <x v="1"/>
    <s v="Needs Improvement"/>
  </r>
  <r>
    <s v="ORD1005"/>
    <d v="2026-02-05T00:00:00"/>
    <d v="1899-12-30T12:20:00"/>
    <x v="4"/>
    <x v="4"/>
    <s v="Gulab Jamun"/>
    <s v="Teja"/>
    <n v="274"/>
    <n v="40"/>
    <n v="5"/>
    <s v="Cash"/>
    <x v="4"/>
    <s v="Teja"/>
    <s v="Chennai"/>
    <x v="3"/>
    <x v="1"/>
    <x v="2"/>
    <s v="Good"/>
  </r>
  <r>
    <s v="ORD1006"/>
    <d v="2026-02-06T00:00:00"/>
    <d v="1899-12-30T08:30:00"/>
    <x v="0"/>
    <x v="0"/>
    <s v="Masala Dosa"/>
    <s v="Asmitha"/>
    <n v="231"/>
    <n v="25"/>
    <n v="3"/>
    <s v="Credit/Debit Card"/>
    <x v="0"/>
    <s v="Asmitha"/>
    <s v="Bengaluru"/>
    <x v="4"/>
    <x v="1"/>
    <x v="0"/>
    <s v="Needs Improvement"/>
  </r>
  <r>
    <s v="ORD1007"/>
    <d v="2026-02-07T00:00:00"/>
    <d v="1899-12-30T13:20:00"/>
    <x v="0"/>
    <x v="1"/>
    <s v="French Fries"/>
    <s v="Ashrith"/>
    <n v="160"/>
    <n v="32"/>
    <n v="4"/>
    <s v="Cash"/>
    <x v="1"/>
    <s v="Ashrith"/>
    <s v="Bengaluru"/>
    <x v="5"/>
    <x v="1"/>
    <x v="0"/>
    <s v="Good"/>
  </r>
  <r>
    <s v="ORD1008"/>
    <d v="2026-02-08T00:00:00"/>
    <d v="1899-12-30T11:20:00"/>
    <x v="1"/>
    <x v="2"/>
    <s v="Dal Makhani"/>
    <s v="Ajay"/>
    <n v="239"/>
    <n v="30"/>
    <n v="2"/>
    <s v="Credit/Debit Card"/>
    <x v="2"/>
    <s v="Ajay"/>
    <s v="Kochi"/>
    <x v="6"/>
    <x v="1"/>
    <x v="0"/>
    <s v="Needs Improvement"/>
  </r>
  <r>
    <s v="ORD1009"/>
    <d v="2026-02-10T00:00:00"/>
    <d v="1899-12-30T14:30:00"/>
    <x v="2"/>
    <x v="3"/>
    <s v="Hakka Noodles"/>
    <s v="Sai"/>
    <n v="280"/>
    <n v="12"/>
    <n v="5"/>
    <s v="UPI"/>
    <x v="3"/>
    <s v="Sai"/>
    <s v="Hyderabad"/>
    <x v="1"/>
    <x v="1"/>
    <x v="1"/>
    <s v="Good"/>
  </r>
  <r>
    <s v="ORD1010"/>
    <d v="2026-02-11T00:00:00"/>
    <d v="1899-12-30T12:30:00"/>
    <x v="3"/>
    <x v="4"/>
    <s v="Gulab Jamun"/>
    <s v="Bharath"/>
    <n v="163"/>
    <n v="10"/>
    <n v="1"/>
    <s v="Cash"/>
    <x v="4"/>
    <s v="Bharath"/>
    <s v="Vijaywada"/>
    <x v="2"/>
    <x v="1"/>
    <x v="1"/>
    <s v="Needs Improvement"/>
  </r>
  <r>
    <s v="ORD1011"/>
    <d v="2026-02-12T00:00:00"/>
    <d v="1899-12-30T11:30:00"/>
    <x v="4"/>
    <x v="0"/>
    <s v="Idli Sambar"/>
    <s v="Asmitha"/>
    <n v="208"/>
    <n v="10"/>
    <n v="4"/>
    <s v="UPI"/>
    <x v="0"/>
    <s v="Asmitha"/>
    <s v="Chennai"/>
    <x v="3"/>
    <x v="1"/>
    <x v="1"/>
    <s v="Good"/>
  </r>
  <r>
    <s v="ORD1012"/>
    <d v="2026-02-12T00:00:00"/>
    <d v="1899-12-30T12:40:00"/>
    <x v="0"/>
    <x v="1"/>
    <s v="Chicken Burger"/>
    <s v="Sheela"/>
    <n v="272"/>
    <n v="20"/>
    <n v="2"/>
    <s v="Cash"/>
    <x v="1"/>
    <s v="Sheela"/>
    <s v="Bengaluru"/>
    <x v="3"/>
    <x v="1"/>
    <x v="1"/>
    <s v="Needs Improvement"/>
  </r>
  <r>
    <s v="ORD1013"/>
    <d v="2026-02-12T00:00:00"/>
    <d v="1899-12-30T13:30:00"/>
    <x v="0"/>
    <x v="2"/>
    <s v="Butter Chicken"/>
    <s v="Joshna"/>
    <n v="242"/>
    <n v="20"/>
    <n v="4"/>
    <s v="Credit/Debit Card"/>
    <x v="2"/>
    <s v="Joshna"/>
    <s v="Bengaluru"/>
    <x v="3"/>
    <x v="1"/>
    <x v="1"/>
    <s v="Good"/>
  </r>
  <r>
    <s v="ORD1014"/>
    <d v="2026-02-12T00:00:00"/>
    <d v="1899-12-30T16:30:00"/>
    <x v="1"/>
    <x v="3"/>
    <s v="Masala Dosa"/>
    <s v="Indhu"/>
    <n v="123"/>
    <n v="20"/>
    <n v="3"/>
    <s v="UPI"/>
    <x v="0"/>
    <s v="Indhu"/>
    <s v="Kochi"/>
    <x v="3"/>
    <x v="1"/>
    <x v="1"/>
    <s v="Needs Improvement"/>
  </r>
  <r>
    <s v="ORD1015"/>
    <d v="2026-02-13T00:00:00"/>
    <d v="1899-12-30T09:20:00"/>
    <x v="2"/>
    <x v="4"/>
    <s v="Chicken Burger"/>
    <s v="Dhanush"/>
    <n v="192"/>
    <n v="30"/>
    <n v="2"/>
    <s v="Cash"/>
    <x v="1"/>
    <s v="Dhanush"/>
    <s v="Hyderabad"/>
    <x v="4"/>
    <x v="1"/>
    <x v="0"/>
    <s v="Needs Improvement"/>
  </r>
  <r>
    <s v="ORD1016"/>
    <d v="2026-02-14T00:00:00"/>
    <d v="1899-12-30T10:20:00"/>
    <x v="3"/>
    <x v="3"/>
    <s v="Butter Chicken"/>
    <s v="Dheeraj"/>
    <n v="143"/>
    <n v="20"/>
    <n v="4"/>
    <s v="Credit/Debit Card"/>
    <x v="2"/>
    <s v="Dheeraj"/>
    <s v="Vijaywada"/>
    <x v="5"/>
    <x v="1"/>
    <x v="1"/>
    <s v="Good"/>
  </r>
  <r>
    <s v="ORD1017"/>
    <d v="2026-02-15T00:00:00"/>
    <d v="1899-12-30T13:40:00"/>
    <x v="4"/>
    <x v="4"/>
    <s v="Manchurian Rice"/>
    <s v="Vaishnavi"/>
    <n v="277"/>
    <n v="34"/>
    <n v="1"/>
    <s v="Cash"/>
    <x v="3"/>
    <s v="Vaishnavi"/>
    <s v="Chennai"/>
    <x v="6"/>
    <x v="1"/>
    <x v="0"/>
    <s v="Needs Improvement"/>
  </r>
  <r>
    <s v="ORD1018"/>
    <d v="2026-02-16T00:00:00"/>
    <d v="1899-12-30T12:30:00"/>
    <x v="0"/>
    <x v="0"/>
    <s v="Gulab Jamun"/>
    <s v="Jay"/>
    <n v="212"/>
    <n v="36"/>
    <n v="4"/>
    <s v="Cash"/>
    <x v="4"/>
    <s v="Jay"/>
    <s v="Bengaluru"/>
    <x v="0"/>
    <x v="1"/>
    <x v="2"/>
    <s v="Good"/>
  </r>
  <r>
    <s v="ORD1019"/>
    <d v="2026-02-17T00:00:00"/>
    <d v="1899-12-30T14:30:00"/>
    <x v="0"/>
    <x v="1"/>
    <s v="Masala Dosa"/>
    <s v="Kiran"/>
    <n v="165"/>
    <n v="26"/>
    <n v="5"/>
    <s v="UPI"/>
    <x v="0"/>
    <s v="Kiran"/>
    <s v="Bengaluru"/>
    <x v="1"/>
    <x v="1"/>
    <x v="0"/>
    <s v="Good"/>
  </r>
  <r>
    <s v="ORD1020"/>
    <d v="2026-02-18T00:00:00"/>
    <d v="1899-12-30T11:30:00"/>
    <x v="1"/>
    <x v="2"/>
    <s v="French Fries"/>
    <s v="Varsha"/>
    <n v="153"/>
    <n v="18"/>
    <n v="4"/>
    <s v="Cash"/>
    <x v="1"/>
    <s v="Varsha"/>
    <s v="Kochi"/>
    <x v="2"/>
    <x v="1"/>
    <x v="1"/>
    <s v="Good"/>
  </r>
  <r>
    <s v="ORD1021"/>
    <d v="2026-02-19T00:00:00"/>
    <d v="1899-12-30T12:45:00"/>
    <x v="2"/>
    <x v="3"/>
    <s v="Dal Makhani"/>
    <s v="Varshith"/>
    <n v="127"/>
    <n v="229"/>
    <n v="2"/>
    <s v="Credit/Debit Card"/>
    <x v="2"/>
    <s v="Varshith"/>
    <s v="Hyderabad"/>
    <x v="3"/>
    <x v="1"/>
    <x v="2"/>
    <s v="Needs Improvement"/>
  </r>
  <r>
    <s v="ORD1022"/>
    <d v="2026-02-20T00:00:00"/>
    <d v="1899-12-30T08:30:00"/>
    <x v="3"/>
    <x v="4"/>
    <s v="Hakka Noodles"/>
    <s v="Varun"/>
    <n v="187"/>
    <n v="31"/>
    <n v="3"/>
    <s v="Cash"/>
    <x v="3"/>
    <s v="Varun"/>
    <s v="Vijaywada"/>
    <x v="4"/>
    <x v="1"/>
    <x v="0"/>
    <s v="Needs Improvement"/>
  </r>
  <r>
    <s v="ORD1023"/>
    <d v="2026-02-21T00:00:00"/>
    <d v="1899-12-30T09:45:00"/>
    <x v="4"/>
    <x v="2"/>
    <s v="Gulab Jamun"/>
    <s v="Tejas"/>
    <n v="150"/>
    <n v="36"/>
    <n v="2"/>
    <s v="UPI"/>
    <x v="4"/>
    <s v="Tejas"/>
    <s v="Chennai"/>
    <x v="5"/>
    <x v="1"/>
    <x v="2"/>
    <s v="Needs Improvement"/>
  </r>
  <r>
    <s v="ORD1024"/>
    <d v="2026-02-22T00:00:00"/>
    <d v="1899-12-30T10:30:00"/>
    <x v="0"/>
    <x v="3"/>
    <s v="Idli Sambar"/>
    <s v="Tharuni"/>
    <n v="266"/>
    <n v="39"/>
    <n v="3"/>
    <s v="UPI"/>
    <x v="0"/>
    <s v="Tharuni"/>
    <s v="Bengaluru"/>
    <x v="6"/>
    <x v="1"/>
    <x v="2"/>
    <s v="Needs Improvement"/>
  </r>
  <r>
    <s v="ORD1025"/>
    <d v="2026-02-23T00:00:00"/>
    <d v="1899-12-30T12:30:00"/>
    <x v="0"/>
    <x v="4"/>
    <s v="Chicken Burger"/>
    <s v="Bindhu"/>
    <n v="127"/>
    <n v="42"/>
    <n v="4"/>
    <s v="Cash"/>
    <x v="1"/>
    <s v="Bindhu"/>
    <s v="Bengaluru"/>
    <x v="0"/>
    <x v="1"/>
    <x v="2"/>
    <s v="Good"/>
  </r>
  <r>
    <s v="ORD1026"/>
    <d v="2026-02-24T00:00:00"/>
    <d v="1899-12-30T11:30:00"/>
    <x v="1"/>
    <x v="3"/>
    <s v="Butter Chicken"/>
    <s v="Madhavi"/>
    <n v="235"/>
    <n v="14"/>
    <n v="3"/>
    <s v="Credit/Debit Card"/>
    <x v="2"/>
    <s v="Madhavi"/>
    <s v="Kochi"/>
    <x v="1"/>
    <x v="1"/>
    <x v="1"/>
    <s v="Needs Improvement"/>
  </r>
  <r>
    <s v="ORD1027"/>
    <d v="2026-02-25T00:00:00"/>
    <d v="1899-12-30T12:40:00"/>
    <x v="2"/>
    <x v="4"/>
    <s v="Gulab Jamun"/>
    <s v="Navadeep"/>
    <n v="242"/>
    <n v="16"/>
    <n v="4"/>
    <s v="Cash"/>
    <x v="4"/>
    <s v="Navadeep"/>
    <s v="Hyderabad"/>
    <x v="2"/>
    <x v="1"/>
    <x v="1"/>
    <s v="Good"/>
  </r>
  <r>
    <s v="ORD1028"/>
    <d v="2026-02-26T00:00:00"/>
    <d v="1899-12-30T13:30:00"/>
    <x v="3"/>
    <x v="0"/>
    <s v="Idli Sambar"/>
    <s v="Abhi"/>
    <n v="199"/>
    <n v="27"/>
    <n v="4"/>
    <s v="UPI"/>
    <x v="0"/>
    <s v="Abhi"/>
    <s v="Vijaywada"/>
    <x v="3"/>
    <x v="1"/>
    <x v="0"/>
    <s v="Good"/>
  </r>
  <r>
    <s v="ORD1029"/>
    <d v="2026-02-27T00:00:00"/>
    <d v="1899-12-30T16:30:00"/>
    <x v="4"/>
    <x v="1"/>
    <s v="Chicken Burger"/>
    <s v="Tharun"/>
    <n v="282"/>
    <n v="18"/>
    <n v="2"/>
    <s v="Cash"/>
    <x v="1"/>
    <s v="Tharun"/>
    <s v="Chennai"/>
    <x v="4"/>
    <x v="1"/>
    <x v="1"/>
    <s v="Needs Improvement"/>
  </r>
  <r>
    <s v="ORD1030"/>
    <d v="2026-02-28T00:00:00"/>
    <d v="1899-12-30T09:20:00"/>
    <x v="0"/>
    <x v="2"/>
    <s v="Butter Chicken"/>
    <s v="Vedha"/>
    <n v="284"/>
    <n v="26"/>
    <n v="4"/>
    <s v="Credit/Debit Card"/>
    <x v="2"/>
    <s v="Vedha"/>
    <s v="Bengaluru"/>
    <x v="5"/>
    <x v="1"/>
    <x v="0"/>
    <s v="Good"/>
  </r>
  <r>
    <s v="ORD1031"/>
    <d v="2026-03-01T00:00:00"/>
    <d v="1899-12-30T10:20:00"/>
    <x v="0"/>
    <x v="3"/>
    <s v="Masala Dosa"/>
    <s v="Vennela"/>
    <n v="137"/>
    <n v="19"/>
    <n v="4"/>
    <s v="Cash"/>
    <x v="0"/>
    <s v="Vennela"/>
    <s v="Bengaluru"/>
    <x v="6"/>
    <x v="2"/>
    <x v="1"/>
    <s v="Good"/>
  </r>
  <r>
    <s v="ORD1032"/>
    <d v="2026-03-02T00:00:00"/>
    <d v="1899-12-30T13:40:00"/>
    <x v="1"/>
    <x v="4"/>
    <s v="Chicken Burger"/>
    <s v="Harshini"/>
    <n v="139"/>
    <n v="18"/>
    <n v="3"/>
    <s v="Credit/Debit Card"/>
    <x v="1"/>
    <s v="Harshini"/>
    <s v="Kochi"/>
    <x v="0"/>
    <x v="2"/>
    <x v="1"/>
    <s v="Needs Improvement"/>
  </r>
  <r>
    <s v="ORD1033"/>
    <d v="2026-03-03T00:00:00"/>
    <d v="1899-12-30T12:30:00"/>
    <x v="2"/>
    <x v="0"/>
    <s v="Butter Chicken"/>
    <s v="Ali"/>
    <n v="164"/>
    <n v="27"/>
    <n v="5"/>
    <s v="UPI"/>
    <x v="2"/>
    <s v="Ali"/>
    <s v="Hyderabad"/>
    <x v="1"/>
    <x v="2"/>
    <x v="0"/>
    <s v="Good"/>
  </r>
  <r>
    <s v="ORD1034"/>
    <d v="2026-03-04T00:00:00"/>
    <d v="1899-12-30T14:30:00"/>
    <x v="3"/>
    <x v="1"/>
    <s v="Manchurian Rice"/>
    <s v="dheeraj"/>
    <n v="205"/>
    <n v="37"/>
    <n v="3"/>
    <s v="UPI"/>
    <x v="3"/>
    <s v="Dheeraj"/>
    <s v="Vijaywada"/>
    <x v="2"/>
    <x v="2"/>
    <x v="2"/>
    <s v="Needs Improvement"/>
  </r>
  <r>
    <s v="ORD1035"/>
    <d v="2026-03-03T00:00:00"/>
    <d v="1899-12-30T11:30:00"/>
    <x v="4"/>
    <x v="2"/>
    <s v="Gulab Jamun"/>
    <s v="Ravi"/>
    <n v="293"/>
    <n v="18"/>
    <n v="3"/>
    <s v="Cash"/>
    <x v="4"/>
    <s v="Ravi"/>
    <s v="Chennai"/>
    <x v="1"/>
    <x v="2"/>
    <x v="1"/>
    <s v="Needs Improvement"/>
  </r>
  <r>
    <s v="ORD1036"/>
    <d v="2026-03-06T00:00:00"/>
    <d v="1899-12-30T12:45:00"/>
    <x v="0"/>
    <x v="3"/>
    <s v="Masala Dosa"/>
    <s v="sai"/>
    <n v="106"/>
    <n v="26"/>
    <n v="3"/>
    <s v="Cash"/>
    <x v="0"/>
    <s v="Sai"/>
    <s v="Bengaluru"/>
    <x v="4"/>
    <x v="2"/>
    <x v="0"/>
    <s v="Needs Improvement"/>
  </r>
  <r>
    <s v="ORD1037"/>
    <d v="2026-03-07T00:00:00"/>
    <d v="1899-12-30T08:30:00"/>
    <x v="0"/>
    <x v="4"/>
    <s v="Chicken Burger"/>
    <s v="Bharath"/>
    <n v="171"/>
    <n v="28"/>
    <n v="2"/>
    <s v="UPI"/>
    <x v="1"/>
    <s v="Bharath"/>
    <s v="Bengaluru"/>
    <x v="5"/>
    <x v="2"/>
    <x v="0"/>
    <s v="Needs Improvement"/>
  </r>
  <r>
    <s v="ORD1038"/>
    <d v="2026-03-08T00:00:00"/>
    <d v="1899-12-30T09:45:00"/>
    <x v="1"/>
    <x v="0"/>
    <s v="Butter Chicken"/>
    <s v="Joshna"/>
    <n v="253"/>
    <n v="16"/>
    <n v="4"/>
    <s v="UPI"/>
    <x v="2"/>
    <s v="Joshna"/>
    <s v="Kochi"/>
    <x v="6"/>
    <x v="2"/>
    <x v="1"/>
    <s v="Good"/>
  </r>
  <r>
    <s v="ORD1039"/>
    <d v="2026-03-09T00:00:00"/>
    <d v="1899-12-30T10:30:00"/>
    <x v="2"/>
    <x v="1"/>
    <s v="Manchurian Rice"/>
    <s v="vedha"/>
    <n v="164"/>
    <n v="18"/>
    <n v="2"/>
    <s v="Cash"/>
    <x v="3"/>
    <s v="Vedha"/>
    <s v="Hyderabad"/>
    <x v="0"/>
    <x v="2"/>
    <x v="1"/>
    <s v="Needs Improvement"/>
  </r>
  <r>
    <s v="ORD1040"/>
    <d v="2026-03-10T00:00:00"/>
    <d v="1899-12-30T08:45:00"/>
    <x v="2"/>
    <x v="2"/>
    <s v="Gulab Jamun"/>
    <s v="Varshith"/>
    <n v="151"/>
    <n v="18"/>
    <n v="4"/>
    <s v="UPI"/>
    <x v="4"/>
    <s v="Varshith"/>
    <s v="Hyderabad"/>
    <x v="1"/>
    <x v="2"/>
    <x v="1"/>
    <s v="Good"/>
  </r>
  <r>
    <s v="ORD1041"/>
    <d v="2026-03-11T00:00:00"/>
    <d v="1899-12-30T08:50:00"/>
    <x v="3"/>
    <x v="3"/>
    <s v="Masala Dosa"/>
    <s v="Lavanya"/>
    <n v="163"/>
    <n v="27"/>
    <n v="1"/>
    <s v="Cash"/>
    <x v="0"/>
    <s v="Lavanya"/>
    <s v="Vijaywada"/>
    <x v="2"/>
    <x v="2"/>
    <x v="0"/>
    <s v="Needs Improvement"/>
  </r>
  <r>
    <s v="ORD1042"/>
    <d v="2026-03-12T00:00:00"/>
    <d v="1899-12-30T09:30:00"/>
    <x v="4"/>
    <x v="4"/>
    <s v="French Fries"/>
    <s v="swathi"/>
    <n v="230"/>
    <n v="39"/>
    <n v="5"/>
    <s v="Credit/Debit Card"/>
    <x v="1"/>
    <s v="Swathi"/>
    <s v="Chennai"/>
    <x v="3"/>
    <x v="2"/>
    <x v="2"/>
    <s v="Good"/>
  </r>
  <r>
    <s v="ORD1043"/>
    <d v="2026-03-13T00:00:00"/>
    <d v="1899-12-30T10:30:00"/>
    <x v="0"/>
    <x v="3"/>
    <s v="Dal Makhani"/>
    <s v="varshini"/>
    <n v="300"/>
    <n v="27"/>
    <n v="1"/>
    <s v="UPI"/>
    <x v="2"/>
    <s v="Varshini"/>
    <s v="Bengaluru"/>
    <x v="4"/>
    <x v="2"/>
    <x v="0"/>
    <s v="Needs Improvement"/>
  </r>
  <r>
    <s v="ORD1044"/>
    <d v="2026-03-14T00:00:00"/>
    <d v="1899-12-30T11:45:00"/>
    <x v="0"/>
    <x v="4"/>
    <s v="Hakka Noodles"/>
    <s v="Teju"/>
    <n v="247"/>
    <n v="22"/>
    <n v="2"/>
    <s v="UPI"/>
    <x v="3"/>
    <s v="Teju"/>
    <s v="Bengaluru"/>
    <x v="5"/>
    <x v="2"/>
    <x v="0"/>
    <s v="Needs Improvement"/>
  </r>
  <r>
    <s v="ORD1045"/>
    <d v="2026-03-15T00:00:00"/>
    <d v="1899-12-30T12:20:00"/>
    <x v="1"/>
    <x v="0"/>
    <s v="Gulab Jamun"/>
    <s v="Harsha"/>
    <n v="290"/>
    <n v="12"/>
    <n v="3"/>
    <s v="UPI"/>
    <x v="4"/>
    <s v="Harsha"/>
    <s v="Kochi"/>
    <x v="6"/>
    <x v="2"/>
    <x v="1"/>
    <s v="Needs Improvement"/>
  </r>
  <r>
    <s v="ORD1046"/>
    <d v="2026-03-16T00:00:00"/>
    <d v="1899-12-30T14:40:00"/>
    <x v="2"/>
    <x v="1"/>
    <s v="Idli Sambar"/>
    <s v="Kailash"/>
    <n v="143"/>
    <n v="18"/>
    <n v="4"/>
    <s v="Cash"/>
    <x v="0"/>
    <s v="Kailash"/>
    <s v="Hyderabad"/>
    <x v="0"/>
    <x v="2"/>
    <x v="1"/>
    <s v="Good"/>
  </r>
  <r>
    <s v="ORD1047"/>
    <d v="2026-03-17T00:00:00"/>
    <d v="1899-12-30T15:50:00"/>
    <x v="3"/>
    <x v="2"/>
    <s v="Chicken Burger"/>
    <s v="Vishnu"/>
    <n v="279"/>
    <n v="28"/>
    <n v="1"/>
    <s v="UPI"/>
    <x v="1"/>
    <s v="Vishnu"/>
    <s v="Vijaywada"/>
    <x v="1"/>
    <x v="2"/>
    <x v="0"/>
    <s v="Needs Improvement"/>
  </r>
  <r>
    <s v="ORD1048"/>
    <d v="2026-03-18T00:00:00"/>
    <d v="1899-12-30T16:20:00"/>
    <x v="4"/>
    <x v="3"/>
    <s v="Butter Chicken"/>
    <s v="Sohel"/>
    <n v="296"/>
    <n v="30"/>
    <n v="4"/>
    <s v="Cash"/>
    <x v="2"/>
    <s v="Sohel"/>
    <s v="Chennai"/>
    <x v="2"/>
    <x v="2"/>
    <x v="0"/>
    <s v="Good"/>
  </r>
  <r>
    <s v="ORD1049"/>
    <d v="2026-03-19T00:00:00"/>
    <d v="1899-12-30T17:40:00"/>
    <x v="0"/>
    <x v="4"/>
    <s v="Masala Dosa"/>
    <s v="Deepu"/>
    <n v="161"/>
    <n v="23"/>
    <n v="1"/>
    <s v="Credit/Debit Card"/>
    <x v="0"/>
    <s v="Deepu"/>
    <s v="Bengaluru"/>
    <x v="3"/>
    <x v="2"/>
    <x v="0"/>
    <s v="Needs Improvement"/>
  </r>
  <r>
    <s v="ORD1050"/>
    <d v="2026-03-20T00:00:00"/>
    <d v="1899-12-30T18:30:00"/>
    <x v="0"/>
    <x v="2"/>
    <s v="French Fries"/>
    <s v="Banshitha"/>
    <n v="287"/>
    <n v="15"/>
    <n v="5"/>
    <s v="Cash"/>
    <x v="1"/>
    <s v="Banshitha"/>
    <s v="Bengaluru"/>
    <x v="4"/>
    <x v="2"/>
    <x v="1"/>
    <s v="Good"/>
  </r>
  <r>
    <s v="ORD1051"/>
    <d v="2026-03-21T00:00:00"/>
    <d v="1899-12-30T19:45:00"/>
    <x v="4"/>
    <x v="3"/>
    <s v="Dal Makhani"/>
    <s v="Nayana"/>
    <n v="196"/>
    <n v="12"/>
    <n v="2"/>
    <s v="UPI"/>
    <x v="2"/>
    <s v="Nayana"/>
    <s v="Chennai"/>
    <x v="5"/>
    <x v="2"/>
    <x v="1"/>
    <s v="Needs Improvement"/>
  </r>
  <r>
    <s v="ORD1052"/>
    <d v="2026-03-22T00:00:00"/>
    <d v="1899-12-30T12:30:00"/>
    <x v="0"/>
    <x v="4"/>
    <s v="Hakka Noodles"/>
    <s v="Vanshitha"/>
    <n v="210"/>
    <n v="40"/>
    <n v="4"/>
    <s v="Cash"/>
    <x v="3"/>
    <s v="Vanshitha"/>
    <s v="Bengaluru"/>
    <x v="6"/>
    <x v="2"/>
    <x v="2"/>
    <s v="Good"/>
  </r>
  <r>
    <s v="ORD1053"/>
    <d v="2026-03-23T00:00:00"/>
    <d v="1899-12-30T20:20:00"/>
    <x v="0"/>
    <x v="3"/>
    <s v="Gulab Jamun"/>
    <s v="Keerthana"/>
    <n v="267"/>
    <n v="25"/>
    <n v="2"/>
    <s v="Cash"/>
    <x v="4"/>
    <s v="Keerthana"/>
    <s v="Bengaluru"/>
    <x v="0"/>
    <x v="2"/>
    <x v="0"/>
    <s v="Needs Improvement"/>
  </r>
  <r>
    <s v="ORD1054"/>
    <d v="2026-03-24T00:00:00"/>
    <d v="1899-12-30T21:15:00"/>
    <x v="1"/>
    <x v="4"/>
    <s v="Idli Sambar"/>
    <s v="Sujatha"/>
    <n v="130"/>
    <n v="32"/>
    <n v="3"/>
    <s v="UPI"/>
    <x v="0"/>
    <s v="Sujatha"/>
    <s v="Kochi"/>
    <x v="1"/>
    <x v="2"/>
    <x v="0"/>
    <s v="Needs Improvement"/>
  </r>
  <r>
    <s v="ORD1055"/>
    <d v="2026-03-25T00:00:00"/>
    <d v="1899-12-30T22:10:00"/>
    <x v="2"/>
    <x v="0"/>
    <s v="Chicken Burger"/>
    <s v="Preethi"/>
    <n v="105"/>
    <n v="30"/>
    <n v="2"/>
    <s v="Cash"/>
    <x v="1"/>
    <s v="Preethi"/>
    <s v="Hyderabad"/>
    <x v="2"/>
    <x v="2"/>
    <x v="0"/>
    <s v="Needs Improvement"/>
  </r>
  <r>
    <s v="ORD1056"/>
    <d v="2026-03-26T00:00:00"/>
    <d v="1899-12-30T12:30:00"/>
    <x v="2"/>
    <x v="1"/>
    <s v="Butter Chicken"/>
    <s v="Rama"/>
    <n v="153"/>
    <n v="12"/>
    <n v="4"/>
    <s v="Credit/Debit Card"/>
    <x v="2"/>
    <s v="Rama"/>
    <s v="Hyderabad"/>
    <x v="3"/>
    <x v="2"/>
    <x v="1"/>
    <s v="Good"/>
  </r>
  <r>
    <s v="ORD1057"/>
    <d v="2026-03-27T00:00:00"/>
    <d v="1899-12-30T10:45:00"/>
    <x v="3"/>
    <x v="2"/>
    <s v="Manchurian Rice"/>
    <s v="Ramu"/>
    <n v="217"/>
    <n v="10"/>
    <n v="2"/>
    <s v="Cash"/>
    <x v="3"/>
    <s v="Ramu"/>
    <s v="Vijaywada"/>
    <x v="4"/>
    <x v="2"/>
    <x v="1"/>
    <s v="Needs Improvement"/>
  </r>
  <r>
    <s v="ORD1058"/>
    <d v="2026-03-28T00:00:00"/>
    <d v="1899-12-30T11:30:00"/>
    <x v="4"/>
    <x v="0"/>
    <s v="Gulab Jamun"/>
    <s v="Priya"/>
    <n v="140"/>
    <n v="10"/>
    <n v="1"/>
    <s v="Cash"/>
    <x v="4"/>
    <s v="Priya"/>
    <s v="Chennai"/>
    <x v="5"/>
    <x v="2"/>
    <x v="1"/>
    <s v="Needs Improvement"/>
  </r>
  <r>
    <s v="ORD1059"/>
    <d v="2026-03-29T00:00:00"/>
    <d v="1899-12-30T12:00:00"/>
    <x v="0"/>
    <x v="2"/>
    <s v="Masala Dosa"/>
    <s v="Rishi"/>
    <n v="283"/>
    <n v="20"/>
    <n v="4"/>
    <s v="Credit/Debit Card"/>
    <x v="0"/>
    <s v="Rishi"/>
    <s v="Bengaluru"/>
    <x v="6"/>
    <x v="2"/>
    <x v="1"/>
    <s v="Good"/>
  </r>
  <r>
    <s v="ORD1060"/>
    <d v="2026-03-30T00:00:00"/>
    <d v="1899-12-30T14:20:00"/>
    <x v="0"/>
    <x v="4"/>
    <s v="French Fries"/>
    <s v="Naresh"/>
    <n v="213"/>
    <n v="20"/>
    <n v="2"/>
    <s v="UPI"/>
    <x v="1"/>
    <s v="Naresh"/>
    <s v="Bengaluru"/>
    <x v="0"/>
    <x v="2"/>
    <x v="1"/>
    <s v="Needs Improvement"/>
  </r>
  <r>
    <s v="ORD1061"/>
    <d v="2026-03-31T00:00:00"/>
    <d v="1899-12-30T15:29:00"/>
    <x v="1"/>
    <x v="3"/>
    <s v="Dal Makhani"/>
    <s v="Prem"/>
    <n v="252"/>
    <n v="20"/>
    <n v="4"/>
    <s v="Cash"/>
    <x v="2"/>
    <s v="Prem"/>
    <s v="Kochi"/>
    <x v="1"/>
    <x v="2"/>
    <x v="1"/>
    <s v="Good"/>
  </r>
  <r>
    <s v="ORD1062"/>
    <d v="2026-04-01T00:00:00"/>
    <d v="1899-12-30T15:02:00"/>
    <x v="2"/>
    <x v="1"/>
    <s v="Hakka Noodles"/>
    <s v="Sailesh"/>
    <n v="218"/>
    <n v="30"/>
    <n v="3"/>
    <s v="Credit/Debit Card"/>
    <x v="3"/>
    <s v="Sailesh"/>
    <s v="Hyderabad"/>
    <x v="2"/>
    <x v="3"/>
    <x v="0"/>
    <s v="Needs Improvement"/>
  </r>
  <r>
    <s v="ORD1063"/>
    <d v="2026-04-02T00:00:00"/>
    <d v="1899-12-30T12:36:00"/>
    <x v="3"/>
    <x v="1"/>
    <s v="Gulab Jamun"/>
    <s v="Rajesh"/>
    <n v="151"/>
    <n v="20"/>
    <n v="4"/>
    <s v="Cash"/>
    <x v="4"/>
    <s v="Rajesh"/>
    <s v="Vijaywada"/>
    <x v="3"/>
    <x v="3"/>
    <x v="1"/>
    <s v="Good"/>
  </r>
  <r>
    <s v="ORD1064"/>
    <d v="2026-04-03T00:00:00"/>
    <d v="1899-12-30T16:04:00"/>
    <x v="4"/>
    <x v="2"/>
    <s v="Idli Sambar"/>
    <s v="Ramesh"/>
    <n v="215"/>
    <n v="34"/>
    <n v="2"/>
    <s v="Cash"/>
    <x v="0"/>
    <s v="Ramesh"/>
    <s v="Chennai"/>
    <x v="4"/>
    <x v="3"/>
    <x v="0"/>
    <s v="Needs Improvement"/>
  </r>
  <r>
    <s v="ORD1065"/>
    <d v="2026-04-04T00:00:00"/>
    <d v="1899-12-30T16:10:00"/>
    <x v="0"/>
    <x v="3"/>
    <s v="Chicken Burger"/>
    <s v="Surya"/>
    <n v="227"/>
    <n v="36"/>
    <n v="5"/>
    <s v="Cash"/>
    <x v="1"/>
    <s v="Surya"/>
    <s v="Bengaluru"/>
    <x v="5"/>
    <x v="3"/>
    <x v="2"/>
    <s v="Good"/>
  </r>
  <r>
    <s v="ORD1066"/>
    <d v="2026-04-05T00:00:00"/>
    <d v="1899-12-30T16:45:00"/>
    <x v="0"/>
    <x v="4"/>
    <s v="Butter Chicken"/>
    <s v="Pavithra"/>
    <n v="145"/>
    <n v="26"/>
    <n v="5"/>
    <s v="Credit/Debit Card"/>
    <x v="2"/>
    <s v="Pavithra"/>
    <s v="Bengaluru"/>
    <x v="6"/>
    <x v="3"/>
    <x v="0"/>
    <s v="Good"/>
  </r>
  <r>
    <s v="ORD1067"/>
    <d v="2026-04-06T00:00:00"/>
    <d v="1899-12-30T18:30:00"/>
    <x v="3"/>
    <x v="0"/>
    <s v="Masala Dosa"/>
    <s v="Varshu"/>
    <n v="253"/>
    <n v="18"/>
    <n v="5"/>
    <s v="UPI"/>
    <x v="0"/>
    <s v="Varshu"/>
    <s v="Vijaywada"/>
    <x v="0"/>
    <x v="3"/>
    <x v="1"/>
    <s v="Good"/>
  </r>
  <r>
    <s v="ORD1068"/>
    <d v="2026-04-07T00:00:00"/>
    <d v="1899-12-30T13:40:00"/>
    <x v="4"/>
    <x v="1"/>
    <s v="French Fries"/>
    <s v="Keerthi"/>
    <n v="243"/>
    <n v="29"/>
    <n v="2"/>
    <s v="UPI"/>
    <x v="1"/>
    <s v="Keerthi"/>
    <s v="Chennai"/>
    <x v="1"/>
    <x v="3"/>
    <x v="0"/>
    <s v="Needs Improvement"/>
  </r>
  <r>
    <s v="ORD1069"/>
    <d v="2026-04-08T00:00:00"/>
    <d v="1899-12-30T12:30:00"/>
    <x v="0"/>
    <x v="2"/>
    <s v="Dal Makhani"/>
    <s v="Jahnavi"/>
    <n v="273"/>
    <n v="31"/>
    <n v="3"/>
    <s v="Cash"/>
    <x v="2"/>
    <s v="Jahnavi"/>
    <s v="Bengaluru"/>
    <x v="2"/>
    <x v="3"/>
    <x v="0"/>
    <s v="Needs Improvement"/>
  </r>
  <r>
    <s v="ORD1070"/>
    <d v="2026-04-09T00:00:00"/>
    <d v="1899-12-30T14:30:00"/>
    <x v="0"/>
    <x v="3"/>
    <s v="Hakka Noodles"/>
    <s v="Jersey"/>
    <n v="208"/>
    <n v="36"/>
    <n v="4"/>
    <s v="Credit/Debit Card"/>
    <x v="3"/>
    <s v="Jersey"/>
    <s v="Bengaluru"/>
    <x v="3"/>
    <x v="3"/>
    <x v="2"/>
    <s v="Good"/>
  </r>
  <r>
    <s v="ORD1071"/>
    <d v="2026-04-10T00:00:00"/>
    <d v="1899-12-30T11:30:00"/>
    <x v="1"/>
    <x v="4"/>
    <s v="Gulab Jamun"/>
    <s v="Shahin"/>
    <n v="290"/>
    <n v="39"/>
    <n v="3"/>
    <s v="Cash"/>
    <x v="4"/>
    <s v="Shahin"/>
    <s v="Kochi"/>
    <x v="4"/>
    <x v="3"/>
    <x v="2"/>
    <s v="Needs Improvement"/>
  </r>
  <r>
    <s v="ORD1072"/>
    <d v="2026-04-11T00:00:00"/>
    <d v="1899-12-30T12:45:00"/>
    <x v="2"/>
    <x v="3"/>
    <s v="Idli Sambar"/>
    <s v="Shalini"/>
    <n v="107"/>
    <n v="42"/>
    <n v="1"/>
    <s v="UPI"/>
    <x v="0"/>
    <s v="Shalini"/>
    <s v="Hyderabad"/>
    <x v="5"/>
    <x v="3"/>
    <x v="2"/>
    <s v="Needs Improvement"/>
  </r>
  <r>
    <s v="ORD1073"/>
    <d v="2026-04-12T00:00:00"/>
    <d v="1899-12-30T08:30:00"/>
    <x v="0"/>
    <x v="4"/>
    <s v="Chicken Burger"/>
    <s v="Aman"/>
    <n v="111"/>
    <n v="14"/>
    <n v="2"/>
    <s v="UPI"/>
    <x v="1"/>
    <s v="Aman"/>
    <s v="Bengaluru"/>
    <x v="6"/>
    <x v="3"/>
    <x v="1"/>
    <s v="Needs Improvement"/>
  </r>
  <r>
    <s v="ORD1074"/>
    <d v="2026-04-13T00:00:00"/>
    <d v="1899-12-30T09:45:00"/>
    <x v="0"/>
    <x v="0"/>
    <s v="Butter Chicken"/>
    <s v="Karthik"/>
    <n v="111"/>
    <n v="16"/>
    <n v="4"/>
    <s v="UPI"/>
    <x v="2"/>
    <s v="Karthik"/>
    <s v="Bengaluru"/>
    <x v="0"/>
    <x v="3"/>
    <x v="1"/>
    <s v="Good"/>
  </r>
  <r>
    <s v="ORD1075"/>
    <d v="2026-04-14T00:00:00"/>
    <d v="1899-12-30T10:30:00"/>
    <x v="1"/>
    <x v="1"/>
    <s v="Gulab Jamun"/>
    <s v="Karuna"/>
    <n v="180"/>
    <n v="27"/>
    <n v="3"/>
    <s v="Cash"/>
    <x v="4"/>
    <s v="Karuna"/>
    <s v="Kochi"/>
    <x v="1"/>
    <x v="3"/>
    <x v="0"/>
    <s v="Needs Improvement"/>
  </r>
  <r>
    <s v="ORD1076"/>
    <d v="2026-04-15T00:00:00"/>
    <d v="1899-12-30T12:30:00"/>
    <x v="2"/>
    <x v="2"/>
    <s v="Masala Dosa"/>
    <s v="Bheemesh"/>
    <n v="224"/>
    <n v="18"/>
    <n v="2"/>
    <s v="UPI"/>
    <x v="0"/>
    <s v="Bheemesh"/>
    <s v="Hyderabad"/>
    <x v="2"/>
    <x v="3"/>
    <x v="1"/>
    <s v="Needs Improvement"/>
  </r>
  <r>
    <s v="ORD1077"/>
    <d v="2026-04-16T00:00:00"/>
    <d v="1899-12-30T11:30:00"/>
    <x v="4"/>
    <x v="3"/>
    <s v="French Fries"/>
    <s v="Bharathi"/>
    <n v="152"/>
    <n v="26"/>
    <n v="4"/>
    <s v="Cash"/>
    <x v="1"/>
    <s v="Bharathi"/>
    <s v="Chennai"/>
    <x v="3"/>
    <x v="3"/>
    <x v="0"/>
    <s v="Good"/>
  </r>
  <r>
    <s v="ORD1078"/>
    <d v="2026-04-17T00:00:00"/>
    <d v="1899-12-30T12:40:00"/>
    <x v="0"/>
    <x v="1"/>
    <s v="Dal Makhani"/>
    <s v="Narendra"/>
    <n v="204"/>
    <n v="19"/>
    <n v="2"/>
    <s v="Credit/Debit Card"/>
    <x v="2"/>
    <s v="Narendra"/>
    <s v="Bengaluru"/>
    <x v="4"/>
    <x v="3"/>
    <x v="1"/>
    <s v="Needs Improvement"/>
  </r>
  <r>
    <s v="ORD1079"/>
    <d v="2026-04-18T00:00:00"/>
    <d v="1899-12-30T13:30:00"/>
    <x v="1"/>
    <x v="2"/>
    <s v="Hakka Noodles"/>
    <s v="Ruchi"/>
    <n v="207"/>
    <n v="18"/>
    <n v="5"/>
    <s v="Credit/Debit Card"/>
    <x v="3"/>
    <s v="Ruchi"/>
    <s v="Kochi"/>
    <x v="5"/>
    <x v="3"/>
    <x v="1"/>
    <s v="Good"/>
  </r>
  <r>
    <s v="ORD1080"/>
    <d v="2026-04-19T00:00:00"/>
    <d v="1899-12-30T16:30:00"/>
    <x v="2"/>
    <x v="3"/>
    <s v="Gulab Jamun"/>
    <s v="Haranya"/>
    <n v="176"/>
    <n v="27"/>
    <n v="2"/>
    <s v="Cash"/>
    <x v="4"/>
    <s v="Haranya"/>
    <s v="Hyderabad"/>
    <x v="6"/>
    <x v="3"/>
    <x v="0"/>
    <s v="Needs Improvement"/>
  </r>
  <r>
    <s v="ORD1081"/>
    <d v="2026-04-20T00:00:00"/>
    <d v="1899-12-30T09:20:00"/>
    <x v="3"/>
    <x v="4"/>
    <s v="Idli Sambar"/>
    <s v="sashi"/>
    <n v="170"/>
    <n v="37"/>
    <n v="4"/>
    <s v="UPI"/>
    <x v="0"/>
    <s v="Sashi"/>
    <s v="Vijaywada"/>
    <x v="0"/>
    <x v="3"/>
    <x v="2"/>
    <s v="Good"/>
  </r>
  <r>
    <s v="ORD1082"/>
    <d v="2026-04-21T00:00:00"/>
    <d v="1899-12-30T10:20:00"/>
    <x v="4"/>
    <x v="3"/>
    <s v="Chicken Burger"/>
    <s v="Sakshi"/>
    <n v="168"/>
    <n v="18"/>
    <n v="3"/>
    <s v="Cash"/>
    <x v="1"/>
    <s v="Sakshi"/>
    <s v="Chennai"/>
    <x v="1"/>
    <x v="3"/>
    <x v="1"/>
    <s v="Needs Improvement"/>
  </r>
  <r>
    <s v="ORD1083"/>
    <d v="2026-04-22T00:00:00"/>
    <d v="1899-12-30T13:40:00"/>
    <x v="0"/>
    <x v="4"/>
    <s v="Butter Chicken"/>
    <s v="Sreekarun"/>
    <n v="259"/>
    <n v="26"/>
    <n v="4"/>
    <s v="Credit/Debit Card"/>
    <x v="2"/>
    <s v="Sreekarun"/>
    <s v="Bengaluru"/>
    <x v="2"/>
    <x v="3"/>
    <x v="0"/>
    <s v="Good"/>
  </r>
  <r>
    <s v="ORD1084"/>
    <d v="2026-04-23T00:00:00"/>
    <d v="1899-12-30T12:30:00"/>
    <x v="0"/>
    <x v="0"/>
    <s v="Masala Dosa"/>
    <s v="Divya"/>
    <n v="194"/>
    <n v="28"/>
    <n v="2"/>
    <s v="UPI"/>
    <x v="0"/>
    <s v="Divya"/>
    <s v="Bengaluru"/>
    <x v="3"/>
    <x v="3"/>
    <x v="0"/>
    <s v="Needs Improvement"/>
  </r>
  <r>
    <s v="ORD1085"/>
    <d v="2026-04-24T00:00:00"/>
    <d v="1899-12-30T14:30:00"/>
    <x v="1"/>
    <x v="1"/>
    <s v="French Fries"/>
    <s v="Mukesh"/>
    <n v="126"/>
    <n v="16"/>
    <n v="4"/>
    <s v="UPI"/>
    <x v="1"/>
    <s v="Mukesh"/>
    <s v="Kochi"/>
    <x v="4"/>
    <x v="3"/>
    <x v="1"/>
    <s v="Good"/>
  </r>
  <r>
    <s v="ORD1086"/>
    <d v="2026-04-25T00:00:00"/>
    <d v="1899-12-30T11:30:00"/>
    <x v="2"/>
    <x v="2"/>
    <s v="Dal Makhani"/>
    <s v="Rahul"/>
    <n v="238"/>
    <n v="18"/>
    <n v="3"/>
    <s v="UPI"/>
    <x v="2"/>
    <s v="Rahul"/>
    <s v="Hyderabad"/>
    <x v="5"/>
    <x v="3"/>
    <x v="1"/>
    <s v="Needs Improvement"/>
  </r>
  <r>
    <s v="ORD1087"/>
    <d v="2026-04-26T00:00:00"/>
    <d v="1899-12-30T12:45:00"/>
    <x v="1"/>
    <x v="3"/>
    <s v="Hakka Noodles"/>
    <s v="Thoufiq"/>
    <n v="186"/>
    <n v="18"/>
    <n v="2"/>
    <s v="UPI"/>
    <x v="3"/>
    <s v="Thoufiq"/>
    <s v="Kochi"/>
    <x v="6"/>
    <x v="3"/>
    <x v="1"/>
    <s v="Needs Improvement"/>
  </r>
  <r>
    <s v="ORD1088"/>
    <d v="2026-04-27T00:00:00"/>
    <d v="1899-12-30T08:30:00"/>
    <x v="2"/>
    <x v="1"/>
    <s v="Gulab Jamun"/>
    <s v="Kishore"/>
    <n v="171"/>
    <n v="27"/>
    <n v="1"/>
    <s v="UPI"/>
    <x v="4"/>
    <s v="Kishore"/>
    <s v="Hyderabad"/>
    <x v="0"/>
    <x v="3"/>
    <x v="0"/>
    <s v="Needs Improvement"/>
  </r>
  <r>
    <s v="ORD1089"/>
    <d v="2026-04-28T00:00:00"/>
    <d v="1899-12-30T09:45:00"/>
    <x v="3"/>
    <x v="2"/>
    <s v="Idli Sambar"/>
    <s v="Hemanth"/>
    <n v="223"/>
    <n v="39"/>
    <n v="4"/>
    <s v="Cash"/>
    <x v="0"/>
    <s v="Hemanth"/>
    <s v="Vijaywada"/>
    <x v="1"/>
    <x v="3"/>
    <x v="2"/>
    <s v="Good"/>
  </r>
  <r>
    <s v="ORD1090"/>
    <d v="2026-04-29T00:00:00"/>
    <d v="1899-12-30T10:30:00"/>
    <x v="4"/>
    <x v="3"/>
    <s v="Chicken Burger"/>
    <s v="Dhanunjay"/>
    <n v="101"/>
    <n v="27"/>
    <n v="3"/>
    <s v="Credit/Debit Card"/>
    <x v="1"/>
    <s v="Dhanunjay"/>
    <s v="Chennai"/>
    <x v="2"/>
    <x v="3"/>
    <x v="0"/>
    <s v="Needs Improvement"/>
  </r>
  <r>
    <s v="ORD1091"/>
    <d v="2026-04-30T00:00:00"/>
    <d v="1899-12-30T08:45:00"/>
    <x v="0"/>
    <x v="4"/>
    <s v="Butter Chicken"/>
    <s v="Akshaya"/>
    <n v="282"/>
    <n v="22"/>
    <n v="3"/>
    <s v="Credit/Debit Card"/>
    <x v="2"/>
    <s v="Akshaya"/>
    <s v="Bengaluru"/>
    <x v="3"/>
    <x v="3"/>
    <x v="0"/>
    <s v="Needs Improvement"/>
  </r>
  <r>
    <s v="ORD1092"/>
    <d v="2026-05-01T00:00:00"/>
    <d v="1899-12-30T08:50:00"/>
    <x v="0"/>
    <x v="0"/>
    <s v="Chicken Burger"/>
    <s v="Anu"/>
    <n v="298"/>
    <n v="12"/>
    <n v="4"/>
    <s v="Cash"/>
    <x v="1"/>
    <s v="Anu"/>
    <s v="Bengaluru"/>
    <x v="4"/>
    <x v="4"/>
    <x v="1"/>
    <s v="Good"/>
  </r>
  <r>
    <s v="ORD1093"/>
    <d v="2026-05-02T00:00:00"/>
    <d v="1899-12-30T09:30:00"/>
    <x v="1"/>
    <x v="1"/>
    <s v="Butter Chicken"/>
    <s v="Jashmitha"/>
    <n v="161"/>
    <n v="18"/>
    <n v="4"/>
    <s v="Credit/Debit Card"/>
    <x v="2"/>
    <s v="Jashmitha"/>
    <s v="Kochi"/>
    <x v="5"/>
    <x v="4"/>
    <x v="1"/>
    <s v="Good"/>
  </r>
  <r>
    <s v="ORD1094"/>
    <d v="2026-05-03T00:00:00"/>
    <d v="1899-12-30T10:30:00"/>
    <x v="2"/>
    <x v="2"/>
    <s v="Manchurian Rice"/>
    <s v="Sushmitha"/>
    <n v="286"/>
    <n v="27"/>
    <n v="2"/>
    <s v="UPI"/>
    <x v="3"/>
    <s v="Sushmitha"/>
    <s v="Hyderabad"/>
    <x v="6"/>
    <x v="4"/>
    <x v="0"/>
    <s v="Needs Improvement"/>
  </r>
  <r>
    <s v="ORD1095"/>
    <d v="2026-05-04T00:00:00"/>
    <d v="1899-12-30T11:45:00"/>
    <x v="0"/>
    <x v="3"/>
    <s v="Gulab Jamun"/>
    <s v="Kabir"/>
    <n v="223"/>
    <n v="18"/>
    <n v="4"/>
    <s v="Cash"/>
    <x v="4"/>
    <s v="Kabir"/>
    <s v="Bengaluru"/>
    <x v="0"/>
    <x v="4"/>
    <x v="1"/>
    <s v="Good"/>
  </r>
  <r>
    <s v="ORD1096"/>
    <d v="2026-05-05T00:00:00"/>
    <d v="1899-12-30T08:30:00"/>
    <x v="1"/>
    <x v="4"/>
    <s v="Masala Dosa"/>
    <s v="Vihaan"/>
    <n v="224"/>
    <n v="26"/>
    <n v="4"/>
    <s v="Credit/Debit Card"/>
    <x v="0"/>
    <s v="Vihaan"/>
    <s v="Kochi"/>
    <x v="1"/>
    <x v="4"/>
    <x v="0"/>
    <s v="Good"/>
  </r>
  <r>
    <s v="ORD1097"/>
    <d v="2026-05-06T00:00:00"/>
    <d v="1899-12-30T09:45:00"/>
    <x v="2"/>
    <x v="3"/>
    <s v="French Fries"/>
    <s v="Aayush"/>
    <n v="112"/>
    <n v="19"/>
    <n v="4"/>
    <s v="UPI"/>
    <x v="1"/>
    <s v="Aayush"/>
    <s v="Hyderabad"/>
    <x v="2"/>
    <x v="4"/>
    <x v="1"/>
    <s v="Good"/>
  </r>
  <r>
    <s v="ORD1098"/>
    <d v="2026-05-07T00:00:00"/>
    <d v="1899-12-30T10:03:00"/>
    <x v="3"/>
    <x v="4"/>
    <s v="Dal Makhani"/>
    <s v="Ishaan"/>
    <n v="180"/>
    <n v="18"/>
    <n v="4"/>
    <s v="Cash"/>
    <x v="2"/>
    <s v="Ishaan"/>
    <s v="Vijaywada"/>
    <x v="3"/>
    <x v="4"/>
    <x v="1"/>
    <s v="Good"/>
  </r>
  <r>
    <s v="ORD1099"/>
    <d v="2026-05-08T00:00:00"/>
    <d v="1899-12-30T11:00:00"/>
    <x v="4"/>
    <x v="0"/>
    <s v="Hakka Noodles"/>
    <s v="Aarav"/>
    <n v="184"/>
    <n v="27"/>
    <n v="3"/>
    <s v="Credit/Debit Card"/>
    <x v="3"/>
    <s v="Aarav"/>
    <s v="Chennai"/>
    <x v="4"/>
    <x v="4"/>
    <x v="0"/>
    <s v="Needs Improvement"/>
  </r>
  <r>
    <s v="ORD1100"/>
    <d v="2026-05-09T00:00:00"/>
    <d v="1899-12-30T12:20:00"/>
    <x v="0"/>
    <x v="1"/>
    <s v="Gulab Jamun"/>
    <s v="Saanvi"/>
    <n v="256"/>
    <n v="37"/>
    <n v="5"/>
    <s v="UPI"/>
    <x v="4"/>
    <s v="Saanvi"/>
    <s v="Bengaluru"/>
    <x v="5"/>
    <x v="4"/>
    <x v="2"/>
    <s v="Good"/>
  </r>
  <r>
    <s v="ORD1101"/>
    <d v="2026-05-10T00:00:00"/>
    <d v="1899-12-30T08:30:00"/>
    <x v="0"/>
    <x v="2"/>
    <s v="Idli Sambar"/>
    <s v="Diya"/>
    <n v="110"/>
    <n v="18"/>
    <n v="3"/>
    <s v="Cash"/>
    <x v="0"/>
    <s v="Diya"/>
    <s v="Bengaluru"/>
    <x v="6"/>
    <x v="4"/>
    <x v="1"/>
    <s v="Needs Improvement"/>
  </r>
  <r>
    <s v="ORD1102"/>
    <d v="2026-05-11T00:00:00"/>
    <d v="1899-12-30T13:20:00"/>
    <x v="1"/>
    <x v="3"/>
    <s v="Chicken Burger"/>
    <s v="Jhavi"/>
    <n v="259"/>
    <n v="26"/>
    <n v="2"/>
    <s v="Credit/Debit Card"/>
    <x v="1"/>
    <s v="Jhavi"/>
    <s v="Kochi"/>
    <x v="0"/>
    <x v="4"/>
    <x v="0"/>
    <s v="Needs Improvement"/>
  </r>
  <r>
    <s v="ORD1103"/>
    <d v="2026-05-12T00:00:00"/>
    <d v="1899-12-30T11:20:00"/>
    <x v="2"/>
    <x v="4"/>
    <s v="Butter Chicken"/>
    <s v="Anaya"/>
    <n v="172"/>
    <n v="28"/>
    <n v="5"/>
    <s v="UPI"/>
    <x v="2"/>
    <s v="Anaya"/>
    <s v="Hyderabad"/>
    <x v="1"/>
    <x v="4"/>
    <x v="0"/>
    <s v="Good"/>
  </r>
  <r>
    <s v="ORD1104"/>
    <d v="2026-05-13T00:00:00"/>
    <d v="1899-12-30T14:30:00"/>
    <x v="2"/>
    <x v="0"/>
    <s v="Gulab Jamun"/>
    <s v="Kabir"/>
    <n v="276"/>
    <n v="16"/>
    <n v="2"/>
    <s v="UPI"/>
    <x v="4"/>
    <s v="Kabir"/>
    <s v="Hyderabad"/>
    <x v="2"/>
    <x v="4"/>
    <x v="1"/>
    <s v="Needs Improvement"/>
  </r>
  <r>
    <s v="ORD1105"/>
    <d v="2026-05-14T00:00:00"/>
    <d v="1899-12-30T12:30:00"/>
    <x v="3"/>
    <x v="1"/>
    <s v="Idli Sambar"/>
    <s v="Kathir"/>
    <n v="133"/>
    <n v="18"/>
    <n v="3"/>
    <s v="UPI"/>
    <x v="0"/>
    <s v="Kathir"/>
    <s v="Vijaywada"/>
    <x v="3"/>
    <x v="4"/>
    <x v="1"/>
    <s v="Needs Improvement"/>
  </r>
  <r>
    <s v="ORD1106"/>
    <d v="2026-05-15T00:00:00"/>
    <d v="1899-12-30T11:30:00"/>
    <x v="4"/>
    <x v="2"/>
    <s v="Chicken Burger"/>
    <s v="Reena"/>
    <n v="278"/>
    <n v="18"/>
    <n v="4"/>
    <s v="Cash"/>
    <x v="1"/>
    <s v="Reena"/>
    <s v="Chennai"/>
    <x v="4"/>
    <x v="4"/>
    <x v="1"/>
    <s v="Good"/>
  </r>
  <r>
    <s v="ORD1107"/>
    <d v="2026-05-16T00:00:00"/>
    <d v="1899-12-30T12:40:00"/>
    <x v="0"/>
    <x v="3"/>
    <s v="Butter Chicken"/>
    <s v="Rocky"/>
    <n v="160"/>
    <n v="27"/>
    <n v="2"/>
    <s v="Credit/Debit Card"/>
    <x v="2"/>
    <s v="Rocky"/>
    <s v="Bengaluru"/>
    <x v="5"/>
    <x v="4"/>
    <x v="0"/>
    <s v="Needs Improvement"/>
  </r>
  <r>
    <s v="ORD1108"/>
    <d v="2026-05-17T00:00:00"/>
    <d v="1899-12-30T13:30:00"/>
    <x v="0"/>
    <x v="4"/>
    <s v="Masala Dosa"/>
    <s v="Mithilesh"/>
    <n v="221"/>
    <n v="39"/>
    <n v="1"/>
    <s v="UPI"/>
    <x v="0"/>
    <s v="Mithilesh"/>
    <s v="Bengaluru"/>
    <x v="6"/>
    <x v="4"/>
    <x v="2"/>
    <s v="Needs Improvement"/>
  </r>
  <r>
    <s v="ORD1109"/>
    <d v="2026-05-18T00:00:00"/>
    <d v="1899-12-30T16:30:00"/>
    <x v="1"/>
    <x v="0"/>
    <s v="Chicken Burger"/>
    <s v="Sourav"/>
    <n v="135"/>
    <n v="27"/>
    <n v="4"/>
    <s v="UPI"/>
    <x v="1"/>
    <s v="Sourav"/>
    <s v="Kochi"/>
    <x v="0"/>
    <x v="4"/>
    <x v="0"/>
    <s v="Good"/>
  </r>
  <r>
    <s v="ORD1110"/>
    <d v="2026-05-19T00:00:00"/>
    <d v="1899-12-30T09:20:00"/>
    <x v="0"/>
    <x v="1"/>
    <s v="Butter Chicken"/>
    <s v="Aadhya"/>
    <n v="110"/>
    <n v="27"/>
    <n v="1"/>
    <s v="Cash"/>
    <x v="2"/>
    <s v="Aadhya"/>
    <s v="Bengaluru"/>
    <x v="1"/>
    <x v="4"/>
    <x v="0"/>
    <s v="Needs Improvement"/>
  </r>
  <r>
    <s v="ORD1111"/>
    <d v="2026-05-20T00:00:00"/>
    <d v="1899-12-30T10:20:00"/>
    <x v="1"/>
    <x v="2"/>
    <s v="Manchurian Rice"/>
    <s v="Aditi"/>
    <n v="125"/>
    <n v="18"/>
    <n v="5"/>
    <s v="UPI"/>
    <x v="3"/>
    <s v="Aditi"/>
    <s v="Kochi"/>
    <x v="2"/>
    <x v="4"/>
    <x v="1"/>
    <s v="Good"/>
  </r>
  <r>
    <s v="ORD1112"/>
    <d v="2026-05-21T00:00:00"/>
    <d v="1899-12-30T12:30:00"/>
    <x v="2"/>
    <x v="3"/>
    <s v="Gulab Jamun"/>
    <s v="Akanksha"/>
    <n v="178"/>
    <n v="26"/>
    <n v="3"/>
    <s v="Cash"/>
    <x v="4"/>
    <s v="Akanksha"/>
    <s v="Hyderabad"/>
    <x v="3"/>
    <x v="4"/>
    <x v="0"/>
    <s v="Needs Improvement"/>
  </r>
  <r>
    <s v="ORD1113"/>
    <d v="2026-05-22T00:00:00"/>
    <d v="1899-12-30T14:30:00"/>
    <x v="3"/>
    <x v="4"/>
    <s v="Masala Dosa"/>
    <s v="Anjali"/>
    <n v="106"/>
    <n v="19"/>
    <n v="2"/>
    <s v="Credit/Debit Card"/>
    <x v="0"/>
    <s v="Anjali"/>
    <s v="Vijaywada"/>
    <x v="4"/>
    <x v="4"/>
    <x v="1"/>
    <s v="Needs Improvement"/>
  </r>
  <r>
    <s v="ORD1114"/>
    <d v="2026-05-23T00:00:00"/>
    <d v="1899-12-30T11:30:00"/>
    <x v="4"/>
    <x v="3"/>
    <s v="Manchurian Rice"/>
    <s v="Ananya"/>
    <n v="144"/>
    <n v="18"/>
    <n v="4"/>
    <s v="UPI"/>
    <x v="3"/>
    <s v="Ananya"/>
    <s v="Chennai"/>
    <x v="5"/>
    <x v="4"/>
    <x v="1"/>
    <s v="Good"/>
  </r>
  <r>
    <s v="ORD1115"/>
    <d v="2026-05-24T00:00:00"/>
    <d v="1899-12-30T12:45:00"/>
    <x v="0"/>
    <x v="4"/>
    <s v="Gulab Jamun"/>
    <s v="Anika"/>
    <n v="184"/>
    <n v="27"/>
    <n v="5"/>
    <s v="UPI"/>
    <x v="4"/>
    <s v="Anika"/>
    <s v="Bengaluru"/>
    <x v="6"/>
    <x v="4"/>
    <x v="0"/>
    <s v="Good"/>
  </r>
  <r>
    <s v="ORD1116"/>
    <d v="2026-05-25T00:00:00"/>
    <d v="1899-12-30T08:30:00"/>
    <x v="0"/>
    <x v="0"/>
    <s v="Masala Dosa"/>
    <s v="Damini"/>
    <n v="268"/>
    <n v="37"/>
    <n v="4"/>
    <s v="UPI"/>
    <x v="0"/>
    <s v="Damini"/>
    <s v="Bengaluru"/>
    <x v="0"/>
    <x v="4"/>
    <x v="2"/>
    <s v="Good"/>
  </r>
  <r>
    <s v="ORD1117"/>
    <d v="2026-05-26T00:00:00"/>
    <d v="1899-12-30T09:45:00"/>
    <x v="1"/>
    <x v="1"/>
    <s v="Chicken Burger"/>
    <s v="Dharmiki"/>
    <n v="244"/>
    <n v="18"/>
    <n v="3"/>
    <s v="UPI"/>
    <x v="1"/>
    <s v="Dharmiki"/>
    <s v="Kochi"/>
    <x v="1"/>
    <x v="4"/>
    <x v="1"/>
    <s v="Needs Improvement"/>
  </r>
  <r>
    <s v="ORD1118"/>
    <d v="2026-05-27T00:00:00"/>
    <d v="1899-12-30T10:30:00"/>
    <x v="2"/>
    <x v="2"/>
    <s v="Dal Makhani"/>
    <s v="Ishan"/>
    <n v="194"/>
    <n v="26"/>
    <n v="3"/>
    <s v="Cash"/>
    <x v="2"/>
    <s v="Ishan"/>
    <s v="Hyderabad"/>
    <x v="2"/>
    <x v="4"/>
    <x v="0"/>
    <s v="Needs Improvement"/>
  </r>
  <r>
    <s v="ORD1119"/>
    <d v="2026-05-28T00:00:00"/>
    <d v="1899-12-30T12:30:00"/>
    <x v="2"/>
    <x v="3"/>
    <s v="Hakka Noodles"/>
    <s v="Sandhya"/>
    <n v="136"/>
    <n v="28"/>
    <n v="4"/>
    <s v="Credit/Debit Card"/>
    <x v="3"/>
    <s v="Sandhya"/>
    <s v="Hyderabad"/>
    <x v="3"/>
    <x v="4"/>
    <x v="0"/>
    <s v="Good"/>
  </r>
  <r>
    <s v="ORD1120"/>
    <d v="2026-05-29T00:00:00"/>
    <d v="1899-12-30T11:30:00"/>
    <x v="3"/>
    <x v="4"/>
    <s v="Gulab Jamun"/>
    <s v="Bhoomika"/>
    <n v="241"/>
    <n v="16"/>
    <n v="3"/>
    <s v="Cash"/>
    <x v="4"/>
    <s v="Bhoomika"/>
    <s v="Vijaywada"/>
    <x v="4"/>
    <x v="4"/>
    <x v="1"/>
    <s v="Needs Improvement"/>
  </r>
  <r>
    <s v="ORD1121"/>
    <d v="2026-05-30T00:00:00"/>
    <d v="1899-12-30T12:40:00"/>
    <x v="4"/>
    <x v="2"/>
    <s v="French Fries"/>
    <s v="Leela"/>
    <n v="278"/>
    <n v="18"/>
    <n v="3"/>
    <s v="UPI"/>
    <x v="1"/>
    <s v="Leela"/>
    <s v="Chennai"/>
    <x v="5"/>
    <x v="4"/>
    <x v="1"/>
    <s v="Needs Improvement"/>
  </r>
  <r>
    <s v="ORD1122"/>
    <d v="2026-05-31T00:00:00"/>
    <d v="1899-12-30T13:30:00"/>
    <x v="0"/>
    <x v="3"/>
    <s v="Dal Makhani"/>
    <s v="Akhila"/>
    <n v="130"/>
    <n v="18"/>
    <n v="4"/>
    <s v="Cash"/>
    <x v="2"/>
    <s v="Akhila"/>
    <s v="Bengaluru"/>
    <x v="6"/>
    <x v="4"/>
    <x v="1"/>
    <s v="Good"/>
  </r>
  <r>
    <s v="ORD1123"/>
    <d v="2026-06-01T00:00:00"/>
    <d v="1899-12-30T16:30:00"/>
    <x v="0"/>
    <x v="4"/>
    <s v="Hakka Noodles"/>
    <s v="Malvika"/>
    <n v="203"/>
    <n v="27"/>
    <n v="3"/>
    <s v="UPI"/>
    <x v="3"/>
    <s v="Malvika"/>
    <s v="Bengaluru"/>
    <x v="0"/>
    <x v="5"/>
    <x v="0"/>
    <s v="Needs Improvement"/>
  </r>
  <r>
    <s v="ORD1124"/>
    <d v="2026-06-02T00:00:00"/>
    <d v="1899-12-30T09:20:00"/>
    <x v="1"/>
    <x v="3"/>
    <s v="Gulab Jamun"/>
    <s v="Maya"/>
    <n v="214"/>
    <n v="39"/>
    <n v="2"/>
    <s v="Cash"/>
    <x v="4"/>
    <s v="Maya"/>
    <s v="Kochi"/>
    <x v="1"/>
    <x v="5"/>
    <x v="2"/>
    <s v="Needs Improvement"/>
  </r>
  <r>
    <s v="ORD1125"/>
    <d v="2026-06-03T00:00:00"/>
    <d v="1899-12-30T10:20:00"/>
    <x v="4"/>
    <x v="4"/>
    <s v="Idli Sambar"/>
    <s v="Meera"/>
    <n v="148"/>
    <n v="27"/>
    <n v="4"/>
    <s v="Credit/Debit Card"/>
    <x v="0"/>
    <s v="Meera"/>
    <s v="Chennai"/>
    <x v="2"/>
    <x v="5"/>
    <x v="0"/>
    <s v="Good"/>
  </r>
  <r>
    <s v="ORD1126"/>
    <d v="2026-06-04T00:00:00"/>
    <d v="1899-12-30T13:40:00"/>
    <x v="0"/>
    <x v="0"/>
    <s v="Chicken Burger"/>
    <s v="Meenal"/>
    <n v="288"/>
    <n v="27"/>
    <n v="5"/>
    <s v="UPI"/>
    <x v="1"/>
    <s v="Meenal"/>
    <s v="Bengaluru"/>
    <x v="3"/>
    <x v="5"/>
    <x v="0"/>
    <s v="Good"/>
  </r>
  <r>
    <s v="ORD1127"/>
    <d v="2026-06-05T00:00:00"/>
    <d v="1899-12-30T12:30:00"/>
    <x v="1"/>
    <x v="1"/>
    <s v="Butter Chicken"/>
    <s v="Muskan"/>
    <n v="125"/>
    <n v="18"/>
    <n v="3"/>
    <s v="Cash"/>
    <x v="2"/>
    <s v="Muskan"/>
    <s v="Kochi"/>
    <x v="4"/>
    <x v="5"/>
    <x v="1"/>
    <s v="Needs Improvement"/>
  </r>
  <r>
    <s v="ORD1128"/>
    <d v="2026-06-06T00:00:00"/>
    <d v="1899-12-30T14:30:00"/>
    <x v="2"/>
    <x v="2"/>
    <s v="French Fries"/>
    <s v="Mahima"/>
    <n v="292"/>
    <n v="26"/>
    <n v="3"/>
    <s v="Cash"/>
    <x v="1"/>
    <s v="Mahima"/>
    <s v="Hyderabad"/>
    <x v="5"/>
    <x v="5"/>
    <x v="0"/>
    <s v="Needs Improvement"/>
  </r>
  <r>
    <s v="ORD1129"/>
    <d v="2026-06-07T00:00:00"/>
    <d v="1899-12-30T11:30:00"/>
    <x v="3"/>
    <x v="0"/>
    <s v="Dal Makhani"/>
    <s v="Pavani"/>
    <n v="214"/>
    <n v="19"/>
    <n v="3"/>
    <s v="UPI"/>
    <x v="2"/>
    <s v="Pavani"/>
    <s v="Vijaywada"/>
    <x v="6"/>
    <x v="5"/>
    <x v="1"/>
    <s v="Needs Improvement"/>
  </r>
  <r>
    <s v="ORD1130"/>
    <d v="2026-06-08T00:00:00"/>
    <d v="1899-12-30T12:45:00"/>
    <x v="4"/>
    <x v="2"/>
    <s v="Hakka Noodles"/>
    <s v="Kriti"/>
    <n v="260"/>
    <n v="18"/>
    <n v="4"/>
    <s v="Cash"/>
    <x v="3"/>
    <s v="Kriti"/>
    <s v="Chennai"/>
    <x v="0"/>
    <x v="5"/>
    <x v="1"/>
    <s v="Good"/>
  </r>
  <r>
    <s v="ORD1131"/>
    <d v="2026-06-09T00:00:00"/>
    <d v="1899-12-30T08:30:00"/>
    <x v="0"/>
    <x v="4"/>
    <s v="Gulab Jamun"/>
    <s v="Kanika"/>
    <n v="131"/>
    <n v="27"/>
    <n v="3"/>
    <s v="Credit/Debit Card"/>
    <x v="4"/>
    <s v="Kanika"/>
    <s v="Bengaluru"/>
    <x v="1"/>
    <x v="5"/>
    <x v="0"/>
    <s v="Needs Improvement"/>
  </r>
  <r>
    <s v="ORD1132"/>
    <d v="2026-06-10T00:00:00"/>
    <d v="1899-12-30T12:30:00"/>
    <x v="0"/>
    <x v="3"/>
    <s v="Idli Sambar"/>
    <s v="Nandini"/>
    <n v="102"/>
    <n v="37"/>
    <n v="2"/>
    <s v="UPI"/>
    <x v="0"/>
    <s v="Nandini"/>
    <s v="Bengaluru"/>
    <x v="2"/>
    <x v="5"/>
    <x v="2"/>
    <s v="Needs Improvement"/>
  </r>
  <r>
    <s v="ORD1133"/>
    <d v="2026-06-11T00:00:00"/>
    <d v="1899-12-30T20:20:00"/>
    <x v="1"/>
    <x v="1"/>
    <s v="Chicken Burger"/>
    <s v="Navya"/>
    <n v="170"/>
    <n v="18"/>
    <n v="4"/>
    <s v="Cash"/>
    <x v="1"/>
    <s v="Navya"/>
    <s v="Kochi"/>
    <x v="3"/>
    <x v="5"/>
    <x v="1"/>
    <s v="Good"/>
  </r>
  <r>
    <s v="ORD1134"/>
    <d v="2026-06-12T00:00:00"/>
    <d v="1899-12-30T21:15:00"/>
    <x v="2"/>
    <x v="1"/>
    <s v="Butter Chicken"/>
    <s v="Niharika"/>
    <n v="115"/>
    <n v="26"/>
    <n v="3"/>
    <s v="Credit/Debit Card"/>
    <x v="2"/>
    <s v="Niharika"/>
    <s v="Hyderabad"/>
    <x v="4"/>
    <x v="5"/>
    <x v="0"/>
    <s v="Needs Improvement"/>
  </r>
  <r>
    <s v="ORD1135"/>
    <d v="2026-06-13T00:00:00"/>
    <d v="1899-12-30T22:10:00"/>
    <x v="2"/>
    <x v="2"/>
    <s v="Masala Dosa"/>
    <s v="Sreeja"/>
    <n v="179"/>
    <n v="28"/>
    <n v="2"/>
    <s v="Cash"/>
    <x v="0"/>
    <s v="Sreeja"/>
    <s v="Hyderabad"/>
    <x v="5"/>
    <x v="5"/>
    <x v="0"/>
    <s v="Needs Improvement"/>
  </r>
  <r>
    <s v="ORD1136"/>
    <d v="2026-06-14T00:00:00"/>
    <d v="1899-12-30T12:30:00"/>
    <x v="3"/>
    <x v="3"/>
    <s v="French Fries"/>
    <s v="Dharam"/>
    <n v="242"/>
    <n v="16"/>
    <n v="3"/>
    <s v="Cash"/>
    <x v="1"/>
    <s v="Dharam"/>
    <s v="Vijaywada"/>
    <x v="6"/>
    <x v="5"/>
    <x v="1"/>
    <s v="Needs Improvement"/>
  </r>
  <r>
    <s v="ORD1137"/>
    <d v="2026-06-15T00:00:00"/>
    <d v="1899-12-30T10:45:00"/>
    <x v="4"/>
    <x v="4"/>
    <s v="Dal Makhani"/>
    <s v="Vaishnav"/>
    <n v="196"/>
    <n v="18"/>
    <n v="5"/>
    <s v="UPI"/>
    <x v="2"/>
    <s v="Vaishnav"/>
    <s v="Chennai"/>
    <x v="0"/>
    <x v="5"/>
    <x v="1"/>
    <s v="Good"/>
  </r>
  <r>
    <s v="ORD1138"/>
    <d v="2026-06-16T00:00:00"/>
    <d v="1899-12-30T11:30:00"/>
    <x v="0"/>
    <x v="0"/>
    <s v="Hakka Noodles"/>
    <s v="Payal"/>
    <n v="214"/>
    <n v="18"/>
    <n v="4"/>
    <s v="Cash"/>
    <x v="3"/>
    <s v="Payal"/>
    <s v="Bengaluru"/>
    <x v="1"/>
    <x v="5"/>
    <x v="1"/>
    <s v="Good"/>
  </r>
  <r>
    <s v="ORD1139"/>
    <d v="2026-06-17T00:00:00"/>
    <d v="1899-12-30T12:00:00"/>
    <x v="0"/>
    <x v="1"/>
    <s v="Gulab Jamun"/>
    <s v="Poonam"/>
    <n v="131"/>
    <n v="27"/>
    <n v="3"/>
    <s v="Credit/Debit Card"/>
    <x v="4"/>
    <s v="Poonam"/>
    <s v="Bengaluru"/>
    <x v="2"/>
    <x v="5"/>
    <x v="0"/>
    <s v="Needs Improvement"/>
  </r>
  <r>
    <s v="ORD1140"/>
    <d v="2026-06-18T00:00:00"/>
    <d v="1899-12-30T14:20:00"/>
    <x v="1"/>
    <x v="2"/>
    <s v="Idli Sambar"/>
    <s v="Prachi"/>
    <n v="121"/>
    <n v="39"/>
    <n v="3"/>
    <s v="UPI"/>
    <x v="0"/>
    <s v="Prachi"/>
    <s v="Kochi"/>
    <x v="3"/>
    <x v="5"/>
    <x v="2"/>
    <s v="Needs Improvement"/>
  </r>
  <r>
    <s v="ORD1141"/>
    <d v="2026-06-19T00:00:00"/>
    <d v="1899-12-30T15:29:00"/>
    <x v="2"/>
    <x v="3"/>
    <s v="Chicken Burger"/>
    <s v="Rachana"/>
    <n v="132"/>
    <n v="27"/>
    <n v="4"/>
    <s v="Cash"/>
    <x v="1"/>
    <s v="Rachana"/>
    <s v="Hyderabad"/>
    <x v="4"/>
    <x v="5"/>
    <x v="0"/>
    <s v="Good"/>
  </r>
  <r>
    <s v="ORD1142"/>
    <d v="2026-06-20T00:00:00"/>
    <d v="1899-12-30T15:02:00"/>
    <x v="2"/>
    <x v="4"/>
    <s v="Butter Chicken"/>
    <s v="Suma"/>
    <n v="260"/>
    <n v="23"/>
    <n v="3"/>
    <s v="Credit/Debit Card"/>
    <x v="2"/>
    <s v="Suma"/>
    <s v="Hyderabad"/>
    <x v="5"/>
    <x v="5"/>
    <x v="0"/>
    <s v="Needs Improvement"/>
  </r>
  <r>
    <s v="ORD1143"/>
    <d v="2026-06-21T00:00:00"/>
    <d v="1899-12-30T12:36:00"/>
    <x v="0"/>
    <x v="0"/>
    <s v="French Fries"/>
    <s v="Samantha"/>
    <n v="144"/>
    <n v="27"/>
    <n v="3"/>
    <s v="UPI"/>
    <x v="1"/>
    <s v="Samantha"/>
    <s v="Bengaluru"/>
    <x v="6"/>
    <x v="5"/>
    <x v="0"/>
    <s v="Needs Improvement"/>
  </r>
  <r>
    <s v="ORD1144"/>
    <d v="2026-06-22T00:00:00"/>
    <d v="1899-12-30T16:04:00"/>
    <x v="1"/>
    <x v="1"/>
    <s v="Dal Makhani"/>
    <s v="Trisha"/>
    <n v="161"/>
    <n v="18"/>
    <n v="5"/>
    <s v="UPI"/>
    <x v="2"/>
    <s v="Trisha"/>
    <s v="Kochi"/>
    <x v="0"/>
    <x v="5"/>
    <x v="1"/>
    <s v="Good"/>
  </r>
  <r>
    <s v="ORD1145"/>
    <d v="2026-06-23T00:00:00"/>
    <d v="1899-12-30T16:10:00"/>
    <x v="2"/>
    <x v="2"/>
    <s v="Hakka Noodles"/>
    <s v="Naini"/>
    <n v="283"/>
    <n v="26"/>
    <n v="4"/>
    <s v="UPI"/>
    <x v="3"/>
    <s v="Naini"/>
    <s v="Hyderabad"/>
    <x v="1"/>
    <x v="5"/>
    <x v="0"/>
    <s v="Good"/>
  </r>
  <r>
    <s v="ORD1146"/>
    <d v="2026-06-24T00:00:00"/>
    <d v="1899-12-30T16:45:00"/>
    <x v="3"/>
    <x v="3"/>
    <s v="Gulab Jamun"/>
    <s v="Pari"/>
    <n v="262"/>
    <n v="19"/>
    <n v="3"/>
    <s v="UPI"/>
    <x v="4"/>
    <s v="Pari"/>
    <s v="Vijaywada"/>
    <x v="2"/>
    <x v="5"/>
    <x v="1"/>
    <s v="Needs Improvement"/>
  </r>
  <r>
    <s v="ORD1147"/>
    <d v="2026-06-25T00:00:00"/>
    <d v="1899-12-30T18:30:00"/>
    <x v="4"/>
    <x v="4"/>
    <s v="Idli Sambar"/>
    <s v="Shiv"/>
    <n v="276"/>
    <n v="18"/>
    <n v="2"/>
    <s v="Cash"/>
    <x v="0"/>
    <s v="Shiv"/>
    <s v="Chennai"/>
    <x v="3"/>
    <x v="5"/>
    <x v="1"/>
    <s v="Needs Improvement"/>
  </r>
  <r>
    <s v="ORD1148"/>
    <d v="2026-06-26T00:00:00"/>
    <d v="1899-12-30T12:30:00"/>
    <x v="0"/>
    <x v="0"/>
    <s v="Chicken Burger"/>
    <s v="Karunya Reddy"/>
    <n v="209"/>
    <n v="27"/>
    <n v="2"/>
    <s v="Credit/Debit Card"/>
    <x v="1"/>
    <s v="Karunya Reddy"/>
    <s v="Bengaluru"/>
    <x v="4"/>
    <x v="5"/>
    <x v="0"/>
    <s v="Needs Improvement"/>
  </r>
  <r>
    <s v="ORD1149"/>
    <d v="2026-06-27T00:00:00"/>
    <d v="1899-12-30T20:20:00"/>
    <x v="0"/>
    <x v="1"/>
    <s v="Butter Chicken"/>
    <s v="Roshini"/>
    <n v="223"/>
    <n v="37"/>
    <n v="4"/>
    <s v="Cash"/>
    <x v="2"/>
    <s v="Roshini"/>
    <s v="Bengaluru"/>
    <x v="5"/>
    <x v="5"/>
    <x v="2"/>
    <s v="Good"/>
  </r>
  <r>
    <s v="ORD1150"/>
    <d v="2026-06-28T00:00:00"/>
    <d v="1899-12-30T21:15:00"/>
    <x v="1"/>
    <x v="2"/>
    <s v="Masala Dosa"/>
    <s v="Roshan"/>
    <n v="198"/>
    <n v="18"/>
    <n v="3"/>
    <s v="UPI"/>
    <x v="0"/>
    <s v="Roshan"/>
    <s v="Kochi"/>
    <x v="6"/>
    <x v="5"/>
    <x v="1"/>
    <s v="Needs Improvement"/>
  </r>
  <r>
    <s v="ORD1151"/>
    <d v="2026-06-29T00:00:00"/>
    <d v="1899-12-30T22:10:00"/>
    <x v="2"/>
    <x v="3"/>
    <s v="Chicken Burger"/>
    <s v="Ritu"/>
    <n v="150"/>
    <n v="26"/>
    <n v="2"/>
    <s v="Cash"/>
    <x v="1"/>
    <s v="Ritu"/>
    <s v="Hyderabad"/>
    <x v="0"/>
    <x v="5"/>
    <x v="0"/>
    <s v="Needs Improvement"/>
  </r>
  <r>
    <s v="ORD1152"/>
    <d v="2026-06-30T00:00:00"/>
    <d v="1899-12-30T12:30:00"/>
    <x v="2"/>
    <x v="1"/>
    <s v="Butter Chicken"/>
    <s v="Priyanka"/>
    <n v="224"/>
    <n v="28"/>
    <n v="1"/>
    <s v="UPI"/>
    <x v="2"/>
    <s v="Priyanka"/>
    <s v="Hyderabad"/>
    <x v="1"/>
    <x v="5"/>
    <x v="0"/>
    <s v="Needs Improvement"/>
  </r>
  <r>
    <s v="ORD1153"/>
    <d v="2026-07-01T00:00:00"/>
    <d v="1899-12-30T10:45:00"/>
    <x v="0"/>
    <x v="0"/>
    <s v="Manchurian Rice"/>
    <s v="Nisha"/>
    <n v="101"/>
    <n v="16"/>
    <n v="3"/>
    <s v="Cash"/>
    <x v="3"/>
    <s v="Nisha"/>
    <s v="Bengaluru"/>
    <x v="2"/>
    <x v="6"/>
    <x v="1"/>
    <s v="Needs Improvement"/>
  </r>
  <r>
    <s v="ORD1154"/>
    <d v="2026-07-02T00:00:00"/>
    <d v="1899-12-30T11:30:00"/>
    <x v="1"/>
    <x v="1"/>
    <s v="Gulab Jamun"/>
    <s v="Neha"/>
    <n v="152"/>
    <n v="18"/>
    <n v="4"/>
    <s v="Credit/Debit Card"/>
    <x v="4"/>
    <s v="Neha"/>
    <s v="Kochi"/>
    <x v="3"/>
    <x v="6"/>
    <x v="1"/>
    <s v="Good"/>
  </r>
  <r>
    <s v="ORD1155"/>
    <d v="2026-07-03T00:00:00"/>
    <d v="1899-12-30T12:00:00"/>
    <x v="2"/>
    <x v="2"/>
    <s v="Masala Dosa"/>
    <s v="Rohini"/>
    <n v="130"/>
    <n v="18"/>
    <n v="2"/>
    <s v="Cash"/>
    <x v="0"/>
    <s v="Rohini"/>
    <s v="Hyderabad"/>
    <x v="4"/>
    <x v="6"/>
    <x v="1"/>
    <s v="Needs Improvement"/>
  </r>
  <r>
    <s v="ORD1156"/>
    <d v="2026-07-04T00:00:00"/>
    <d v="1899-12-30T14:20:00"/>
    <x v="3"/>
    <x v="3"/>
    <s v="French Fries"/>
    <s v="Tanvi"/>
    <n v="237"/>
    <n v="27"/>
    <n v="4"/>
    <s v="UPI"/>
    <x v="1"/>
    <s v="Tanvi"/>
    <s v="Vijaywada"/>
    <x v="5"/>
    <x v="6"/>
    <x v="0"/>
    <s v="Good"/>
  </r>
  <r>
    <s v="ORD1157"/>
    <d v="2026-07-05T00:00:00"/>
    <d v="1899-12-30T15:29:00"/>
    <x v="4"/>
    <x v="4"/>
    <s v="Dal Makhani"/>
    <s v="Manisha"/>
    <n v="212"/>
    <n v="39"/>
    <n v="4"/>
    <s v="Cash"/>
    <x v="2"/>
    <s v="Manisha"/>
    <s v="Chennai"/>
    <x v="6"/>
    <x v="6"/>
    <x v="2"/>
    <s v="Good"/>
  </r>
  <r>
    <s v="ORD1158"/>
    <d v="2026-07-06T00:00:00"/>
    <d v="1899-12-30T15:02:00"/>
    <x v="0"/>
    <x v="0"/>
    <s v="Hakka Noodles"/>
    <s v="Sowmika"/>
    <n v="108"/>
    <n v="27"/>
    <n v="4"/>
    <s v="Credit/Debit Card"/>
    <x v="3"/>
    <s v="Sowmika"/>
    <s v="Bengaluru"/>
    <x v="0"/>
    <x v="6"/>
    <x v="0"/>
    <s v="Good"/>
  </r>
  <r>
    <s v="ORD1159"/>
    <d v="2026-07-07T00:00:00"/>
    <d v="1899-12-30T12:36:00"/>
    <x v="0"/>
    <x v="1"/>
    <s v="Gulab Jamun"/>
    <s v="Varshitha"/>
    <n v="256"/>
    <n v="18"/>
    <n v="3"/>
    <s v="Cash"/>
    <x v="4"/>
    <s v="Varshitha"/>
    <s v="Bengaluru"/>
    <x v="1"/>
    <x v="6"/>
    <x v="1"/>
    <s v="Needs Improvement"/>
  </r>
  <r>
    <s v="ORD1160"/>
    <d v="2026-07-08T00:00:00"/>
    <d v="1899-12-30T16:04:00"/>
    <x v="1"/>
    <x v="2"/>
    <s v="Idli Sambar"/>
    <s v="Himathi"/>
    <n v="234"/>
    <n v="12"/>
    <n v="3"/>
    <s v="Credit/Debit Card"/>
    <x v="0"/>
    <s v="Himathi"/>
    <s v="Kochi"/>
    <x v="2"/>
    <x v="6"/>
    <x v="1"/>
    <s v="Needs Improvem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5BBC5B-08DD-4072-AE08-E06FD5D48BC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9:B25" firstHeaderRow="1" firstDataRow="1" firstDataCol="1"/>
  <pivotFields count="18">
    <pivotField dataField="1" showAll="0"/>
    <pivotField numFmtId="164" showAll="0"/>
    <pivotField numFmtId="20" showAll="0"/>
    <pivotField showAll="0">
      <items count="6">
        <item x="3"/>
        <item x="0"/>
        <item x="2"/>
        <item x="1"/>
        <item x="4"/>
        <item t="default"/>
      </items>
    </pivotField>
    <pivotField showAll="0">
      <items count="6">
        <item x="3"/>
        <item x="4"/>
        <item x="1"/>
        <item x="2"/>
        <item x="0"/>
        <item t="default"/>
      </items>
    </pivotField>
    <pivotField showAll="0"/>
    <pivotField showAll="0"/>
    <pivotField showAll="0"/>
    <pivotField showAll="0"/>
    <pivotField showAll="0"/>
    <pivotField showAll="0"/>
    <pivotField name="Pivot_OrdersByCuisine" axis="axisRow" showAll="0">
      <items count="6">
        <item x="3"/>
        <item x="4"/>
        <item x="1"/>
        <item x="2"/>
        <item x="0"/>
        <item t="default"/>
      </items>
    </pivotField>
    <pivotField showAll="0"/>
    <pivotField showAll="0"/>
    <pivotField showAll="0"/>
    <pivotField showAll="0"/>
    <pivotField showAll="0">
      <items count="4">
        <item x="1"/>
        <item x="0"/>
        <item x="2"/>
        <item t="default"/>
      </items>
    </pivotField>
    <pivotField showAll="0"/>
  </pivotFields>
  <rowFields count="1">
    <field x="11"/>
  </rowFields>
  <rowItems count="6">
    <i>
      <x/>
    </i>
    <i>
      <x v="1"/>
    </i>
    <i>
      <x v="2"/>
    </i>
    <i>
      <x v="3"/>
    </i>
    <i>
      <x v="4"/>
    </i>
    <i t="grand">
      <x/>
    </i>
  </rowItems>
  <colItems count="1">
    <i/>
  </colItems>
  <dataFields count="1">
    <dataField name=" Pivot_Orders By Cuisine" fld="0" subtotal="count" baseField="0" baseItem="0"/>
  </dataFields>
  <chartFormats count="6">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11" count="1" selected="0">
            <x v="0"/>
          </reference>
        </references>
      </pivotArea>
    </chartFormat>
    <chartFormat chart="14" format="9">
      <pivotArea type="data" outline="0" fieldPosition="0">
        <references count="2">
          <reference field="4294967294" count="1" selected="0">
            <x v="0"/>
          </reference>
          <reference field="11" count="1" selected="0">
            <x v="1"/>
          </reference>
        </references>
      </pivotArea>
    </chartFormat>
    <chartFormat chart="14" format="10">
      <pivotArea type="data" outline="0" fieldPosition="0">
        <references count="2">
          <reference field="4294967294" count="1" selected="0">
            <x v="0"/>
          </reference>
          <reference field="11" count="1" selected="0">
            <x v="2"/>
          </reference>
        </references>
      </pivotArea>
    </chartFormat>
    <chartFormat chart="14" format="11">
      <pivotArea type="data" outline="0" fieldPosition="0">
        <references count="2">
          <reference field="4294967294" count="1" selected="0">
            <x v="0"/>
          </reference>
          <reference field="11" count="1" selected="0">
            <x v="3"/>
          </reference>
        </references>
      </pivotArea>
    </chartFormat>
    <chartFormat chart="14" format="12">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CC7AEA-2498-4831-9FD0-7456C266616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18:M27" firstHeaderRow="1" firstDataRow="2" firstDataCol="1"/>
  <pivotFields count="18">
    <pivotField dataField="1" showAll="0"/>
    <pivotField numFmtId="164" showAll="0"/>
    <pivotField numFmtId="20" showAll="0"/>
    <pivotField showAll="0">
      <items count="6">
        <item x="3"/>
        <item x="0"/>
        <item x="2"/>
        <item x="1"/>
        <item x="4"/>
        <item t="default"/>
      </items>
    </pivotField>
    <pivotField showAll="0"/>
    <pivotField showAll="0"/>
    <pivotField showAll="0"/>
    <pivotField showAll="0"/>
    <pivotField showAll="0"/>
    <pivotField showAll="0"/>
    <pivotField showAll="0"/>
    <pivotField showAll="0">
      <items count="6">
        <item x="3"/>
        <item x="4"/>
        <item x="1"/>
        <item x="2"/>
        <item x="0"/>
        <item t="default"/>
      </items>
    </pivotField>
    <pivotField showAll="0"/>
    <pivotField showAll="0"/>
    <pivotField axis="axisRow" showAll="0">
      <items count="8">
        <item x="0"/>
        <item x="1"/>
        <item x="2"/>
        <item x="3"/>
        <item x="4"/>
        <item x="5"/>
        <item x="6"/>
        <item t="default"/>
      </items>
    </pivotField>
    <pivotField showAll="0"/>
    <pivotField axis="axisCol" showAll="0">
      <items count="4">
        <item x="1"/>
        <item x="0"/>
        <item x="2"/>
        <item t="default"/>
      </items>
    </pivotField>
    <pivotField showAll="0"/>
  </pivotFields>
  <rowFields count="1">
    <field x="14"/>
  </rowFields>
  <rowItems count="8">
    <i>
      <x/>
    </i>
    <i>
      <x v="1"/>
    </i>
    <i>
      <x v="2"/>
    </i>
    <i>
      <x v="3"/>
    </i>
    <i>
      <x v="4"/>
    </i>
    <i>
      <x v="5"/>
    </i>
    <i>
      <x v="6"/>
    </i>
    <i t="grand">
      <x/>
    </i>
  </rowItems>
  <colFields count="1">
    <field x="16"/>
  </colFields>
  <colItems count="4">
    <i>
      <x/>
    </i>
    <i>
      <x v="1"/>
    </i>
    <i>
      <x v="2"/>
    </i>
    <i t="grand">
      <x/>
    </i>
  </colItems>
  <dataFields count="1">
    <dataField name="Pivot_Orders_DayDeliveryStatus" fld="0" subtotal="count" baseField="0" baseItem="0"/>
  </dataFields>
  <chartFormats count="3">
    <chartFormat chart="5" format="6" series="1">
      <pivotArea type="data" outline="0" fieldPosition="0">
        <references count="2">
          <reference field="4294967294" count="1" selected="0">
            <x v="0"/>
          </reference>
          <reference field="16" count="1" selected="0">
            <x v="0"/>
          </reference>
        </references>
      </pivotArea>
    </chartFormat>
    <chartFormat chart="5" format="7" series="1">
      <pivotArea type="data" outline="0" fieldPosition="0">
        <references count="2">
          <reference field="4294967294" count="1" selected="0">
            <x v="0"/>
          </reference>
          <reference field="16" count="1" selected="0">
            <x v="1"/>
          </reference>
        </references>
      </pivotArea>
    </chartFormat>
    <chartFormat chart="5" format="8"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324AC7-31B0-4FEA-8A43-7E71CF61F9C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1:K7" firstHeaderRow="1" firstDataRow="1" firstDataCol="1"/>
  <pivotFields count="18">
    <pivotField showAll="0"/>
    <pivotField numFmtId="164" showAll="0"/>
    <pivotField numFmtId="20" showAll="0"/>
    <pivotField axis="axisRow" showAll="0">
      <items count="6">
        <item x="3"/>
        <item x="0"/>
        <item x="2"/>
        <item x="1"/>
        <item x="4"/>
        <item t="default"/>
      </items>
    </pivotField>
    <pivotField showAll="0"/>
    <pivotField showAll="0"/>
    <pivotField showAll="0"/>
    <pivotField showAll="0"/>
    <pivotField showAll="0"/>
    <pivotField dataField="1" showAll="0"/>
    <pivotField showAll="0"/>
    <pivotField showAll="0">
      <items count="6">
        <item x="3"/>
        <item x="4"/>
        <item x="1"/>
        <item x="2"/>
        <item x="0"/>
        <item t="default"/>
      </items>
    </pivotField>
    <pivotField showAll="0"/>
    <pivotField showAll="0"/>
    <pivotField showAll="0"/>
    <pivotField showAll="0"/>
    <pivotField showAll="0">
      <items count="4">
        <item x="1"/>
        <item x="0"/>
        <item x="2"/>
        <item t="default"/>
      </items>
    </pivotField>
    <pivotField showAll="0"/>
  </pivotFields>
  <rowFields count="1">
    <field x="3"/>
  </rowFields>
  <rowItems count="6">
    <i>
      <x/>
    </i>
    <i>
      <x v="1"/>
    </i>
    <i>
      <x v="2"/>
    </i>
    <i>
      <x v="3"/>
    </i>
    <i>
      <x v="4"/>
    </i>
    <i t="grand">
      <x/>
    </i>
  </rowItems>
  <colItems count="1">
    <i/>
  </colItems>
  <dataFields count="1">
    <dataField name="Pivot_AvgRating_Branch" fld="9" subtotal="average" baseField="3" baseItem="0" numFmtId="165"/>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45F6D0-95C5-4E2B-AA8B-292399EB95BA}" name="PivotTable1" cacheId="0"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16">
  <location ref="A1:G10" firstHeaderRow="1" firstDataRow="2" firstDataCol="1"/>
  <pivotFields count="18">
    <pivotField showAll="0"/>
    <pivotField numFmtId="164" showAll="0"/>
    <pivotField numFmtId="20" showAll="0"/>
    <pivotField axis="axisCol" showAll="0">
      <items count="6">
        <item x="3"/>
        <item x="0"/>
        <item x="2"/>
        <item x="1"/>
        <item x="4"/>
        <item t="default"/>
      </items>
    </pivotField>
    <pivotField showAll="0"/>
    <pivotField showAll="0"/>
    <pivotField showAll="0"/>
    <pivotField dataField="1" showAll="0"/>
    <pivotField showAll="0"/>
    <pivotField showAll="0"/>
    <pivotField showAll="0"/>
    <pivotField showAll="0">
      <items count="6">
        <item x="3"/>
        <item x="4"/>
        <item x="1"/>
        <item x="2"/>
        <item x="0"/>
        <item t="default"/>
      </items>
    </pivotField>
    <pivotField showAll="0"/>
    <pivotField showAll="0"/>
    <pivotField showAll="0"/>
    <pivotField axis="axisRow" showAll="0">
      <items count="8">
        <item x="0"/>
        <item x="1"/>
        <item x="2"/>
        <item x="3"/>
        <item x="4"/>
        <item x="5"/>
        <item x="6"/>
        <item t="default"/>
      </items>
    </pivotField>
    <pivotField showAll="0">
      <items count="4">
        <item x="1"/>
        <item x="0"/>
        <item x="2"/>
        <item t="default"/>
      </items>
    </pivotField>
    <pivotField showAll="0"/>
  </pivotFields>
  <rowFields count="1">
    <field x="15"/>
  </rowFields>
  <rowItems count="8">
    <i>
      <x/>
    </i>
    <i>
      <x v="1"/>
    </i>
    <i>
      <x v="2"/>
    </i>
    <i>
      <x v="3"/>
    </i>
    <i>
      <x v="4"/>
    </i>
    <i>
      <x v="5"/>
    </i>
    <i>
      <x v="6"/>
    </i>
    <i t="grand">
      <x/>
    </i>
  </rowItems>
  <colFields count="1">
    <field x="3"/>
  </colFields>
  <colItems count="6">
    <i>
      <x/>
    </i>
    <i>
      <x v="1"/>
    </i>
    <i>
      <x v="2"/>
    </i>
    <i>
      <x v="3"/>
    </i>
    <i>
      <x v="4"/>
    </i>
    <i t="grand">
      <x/>
    </i>
  </colItems>
  <dataFields count="1">
    <dataField name="Pivot_Revenue_BranchMonth" fld="7" baseField="0" baseItem="0"/>
  </dataFields>
  <formats count="1">
    <format dxfId="0">
      <pivotArea dataOnly="0" labelOnly="1" fieldPosition="0">
        <references count="1">
          <reference field="15" count="0"/>
        </references>
      </pivotArea>
    </format>
  </formats>
  <chartFormats count="5">
    <chartFormat chart="15" format="10" series="1">
      <pivotArea type="data" outline="0" fieldPosition="0">
        <references count="2">
          <reference field="4294967294" count="1" selected="0">
            <x v="0"/>
          </reference>
          <reference field="3" count="1" selected="0">
            <x v="0"/>
          </reference>
        </references>
      </pivotArea>
    </chartFormat>
    <chartFormat chart="15" format="11" series="1">
      <pivotArea type="data" outline="0" fieldPosition="0">
        <references count="2">
          <reference field="4294967294" count="1" selected="0">
            <x v="0"/>
          </reference>
          <reference field="3" count="1" selected="0">
            <x v="1"/>
          </reference>
        </references>
      </pivotArea>
    </chartFormat>
    <chartFormat chart="15" format="12" series="1">
      <pivotArea type="data" outline="0" fieldPosition="0">
        <references count="2">
          <reference field="4294967294" count="1" selected="0">
            <x v="0"/>
          </reference>
          <reference field="3" count="1" selected="0">
            <x v="2"/>
          </reference>
        </references>
      </pivotArea>
    </chartFormat>
    <chartFormat chart="15" format="13" series="1">
      <pivotArea type="data" outline="0" fieldPosition="0">
        <references count="2">
          <reference field="4294967294" count="1" selected="0">
            <x v="0"/>
          </reference>
          <reference field="3" count="1" selected="0">
            <x v="3"/>
          </reference>
        </references>
      </pivotArea>
    </chartFormat>
    <chartFormat chart="15"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code" xr10:uid="{400873B6-30C0-468D-BE67-0EC1CAA45A9C}" sourceName="Branch_code">
  <pivotTables>
    <pivotTable tabId="6" name="PivotTable1"/>
    <pivotTable tabId="6" name="PivotTable2"/>
    <pivotTable tabId="6" name="PivotTable3"/>
    <pivotTable tabId="6" name="PivotTable4"/>
  </pivotTables>
  <data>
    <tabular pivotCacheId="1043534939">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93295853-D346-4D7B-B1CE-D04460335BB7}" sourceName="Delivery_Status">
  <pivotTables>
    <pivotTable tabId="6" name="PivotTable4"/>
    <pivotTable tabId="6" name="PivotTable1"/>
    <pivotTable tabId="6" name="PivotTable2"/>
    <pivotTable tabId="6" name="PivotTable3"/>
  </pivotTables>
  <data>
    <tabular pivotCacheId="104353493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_code" xr10:uid="{1C2D8657-DCD7-4D8F-AC64-B36214F7B8D7}" cache="Slicer_Branch_code" caption="Branch_code" rowHeight="241300"/>
  <slicer name="Delivery_Status 1" xr10:uid="{B8986460-CE10-4D5B-B6E9-F06D01CE742B}" cache="Slicer_Delivery_Status" caption="Delivery_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89AE2-5A1E-4339-8BC5-3C4FFEE73572}">
  <dimension ref="A1:K164"/>
  <sheetViews>
    <sheetView zoomScale="77" workbookViewId="0">
      <selection activeCell="I259" sqref="I259"/>
    </sheetView>
  </sheetViews>
  <sheetFormatPr defaultRowHeight="14"/>
  <cols>
    <col min="1" max="1" width="15.6328125" style="5" customWidth="1"/>
    <col min="2" max="2" width="15.6328125" style="11" customWidth="1"/>
    <col min="3" max="8" width="15.6328125" style="5" customWidth="1"/>
    <col min="9" max="9" width="19.7265625" style="5" customWidth="1"/>
    <col min="10" max="11" width="15.6328125" style="5" customWidth="1"/>
    <col min="12" max="16384" width="8.7265625" style="5"/>
  </cols>
  <sheetData>
    <row r="1" spans="1:11">
      <c r="A1" s="5" t="s">
        <v>0</v>
      </c>
      <c r="B1" s="11" t="s">
        <v>1</v>
      </c>
      <c r="C1" s="5" t="s">
        <v>2</v>
      </c>
      <c r="D1" s="5" t="s">
        <v>3</v>
      </c>
      <c r="E1" s="5" t="s">
        <v>4</v>
      </c>
      <c r="F1" s="5" t="s">
        <v>5</v>
      </c>
      <c r="G1" s="5" t="s">
        <v>6</v>
      </c>
      <c r="H1" s="5" t="s">
        <v>7</v>
      </c>
      <c r="I1" s="5" t="s">
        <v>8</v>
      </c>
      <c r="J1" s="5" t="s">
        <v>9</v>
      </c>
      <c r="K1" s="5" t="s">
        <v>10</v>
      </c>
    </row>
    <row r="2" spans="1:11">
      <c r="A2" s="5" t="s">
        <v>11</v>
      </c>
      <c r="B2" s="11">
        <v>46027</v>
      </c>
      <c r="C2" s="8">
        <v>0.35416666666666669</v>
      </c>
      <c r="D2" s="5" t="s">
        <v>203</v>
      </c>
      <c r="E2" s="5" t="s">
        <v>209</v>
      </c>
      <c r="F2" s="5" t="s">
        <v>214</v>
      </c>
      <c r="G2" s="5" t="s">
        <v>228</v>
      </c>
      <c r="H2" s="5">
        <v>80</v>
      </c>
      <c r="I2" s="5">
        <v>30</v>
      </c>
      <c r="J2" s="5">
        <v>4</v>
      </c>
      <c r="K2" s="5" t="s">
        <v>382</v>
      </c>
    </row>
    <row r="3" spans="1:11">
      <c r="A3" s="5" t="s">
        <v>12</v>
      </c>
      <c r="B3" s="11">
        <v>46027</v>
      </c>
      <c r="C3" s="8">
        <v>0.40625</v>
      </c>
      <c r="D3" s="5" t="s">
        <v>207</v>
      </c>
      <c r="E3" s="5" t="s">
        <v>210</v>
      </c>
      <c r="F3" s="5" t="s">
        <v>215</v>
      </c>
      <c r="G3" s="5" t="s">
        <v>229</v>
      </c>
      <c r="H3" s="5">
        <v>127</v>
      </c>
      <c r="I3" s="5">
        <v>23</v>
      </c>
      <c r="J3" s="5">
        <v>2</v>
      </c>
      <c r="K3" s="5" t="s">
        <v>383</v>
      </c>
    </row>
    <row r="4" spans="1:11">
      <c r="A4" s="5" t="s">
        <v>13</v>
      </c>
      <c r="B4" s="11">
        <v>46056</v>
      </c>
      <c r="C4" s="8">
        <v>0.41875000000000001</v>
      </c>
      <c r="D4" s="5" t="s">
        <v>204</v>
      </c>
      <c r="E4" s="5" t="s">
        <v>211</v>
      </c>
      <c r="F4" s="5" t="s">
        <v>216</v>
      </c>
      <c r="G4" s="5" t="s">
        <v>230</v>
      </c>
      <c r="H4" s="5">
        <v>229</v>
      </c>
      <c r="I4" s="5">
        <v>15</v>
      </c>
      <c r="J4" s="5">
        <v>3</v>
      </c>
      <c r="K4" s="5" t="s">
        <v>384</v>
      </c>
    </row>
    <row r="5" spans="1:11">
      <c r="A5" s="5" t="s">
        <v>14</v>
      </c>
      <c r="B5" s="11">
        <v>46057</v>
      </c>
      <c r="C5" s="8">
        <v>0.45833333333333331</v>
      </c>
      <c r="D5" s="5" t="s">
        <v>205</v>
      </c>
      <c r="E5" s="5" t="s">
        <v>212</v>
      </c>
      <c r="F5" s="5" t="s">
        <v>217</v>
      </c>
      <c r="G5" s="5" t="s">
        <v>231</v>
      </c>
      <c r="H5" s="5">
        <v>175</v>
      </c>
      <c r="I5" s="5">
        <v>12</v>
      </c>
      <c r="J5" s="5">
        <v>1</v>
      </c>
      <c r="K5" s="5" t="s">
        <v>382</v>
      </c>
    </row>
    <row r="6" spans="1:11">
      <c r="A6" s="5" t="s">
        <v>15</v>
      </c>
      <c r="B6" s="11">
        <v>46058</v>
      </c>
      <c r="C6" s="8">
        <v>0.51388888888888884</v>
      </c>
      <c r="D6" s="5" t="s">
        <v>206</v>
      </c>
      <c r="E6" s="5" t="s">
        <v>213</v>
      </c>
      <c r="F6" s="5" t="s">
        <v>218</v>
      </c>
      <c r="G6" s="5" t="s">
        <v>232</v>
      </c>
      <c r="H6" s="5">
        <v>274</v>
      </c>
      <c r="I6" s="5">
        <v>40</v>
      </c>
      <c r="J6" s="5">
        <v>5</v>
      </c>
      <c r="K6" s="5" t="s">
        <v>383</v>
      </c>
    </row>
    <row r="7" spans="1:11">
      <c r="A7" s="5" t="s">
        <v>16</v>
      </c>
      <c r="B7" s="11">
        <v>46059</v>
      </c>
      <c r="C7" s="8">
        <v>0.35416666666666669</v>
      </c>
      <c r="D7" s="5" t="s">
        <v>203</v>
      </c>
      <c r="E7" s="5" t="s">
        <v>209</v>
      </c>
      <c r="F7" s="5" t="s">
        <v>214</v>
      </c>
      <c r="G7" s="5" t="s">
        <v>233</v>
      </c>
      <c r="H7" s="5">
        <v>231</v>
      </c>
      <c r="I7" s="5">
        <v>25</v>
      </c>
      <c r="J7" s="5">
        <v>3</v>
      </c>
      <c r="K7" s="5" t="s">
        <v>384</v>
      </c>
    </row>
    <row r="8" spans="1:11">
      <c r="A8" s="5" t="s">
        <v>17</v>
      </c>
      <c r="B8" s="11">
        <v>46060</v>
      </c>
      <c r="C8" s="8">
        <v>0.55555555555555558</v>
      </c>
      <c r="D8" s="5" t="s">
        <v>203</v>
      </c>
      <c r="E8" s="5" t="s">
        <v>210</v>
      </c>
      <c r="F8" s="5" t="s">
        <v>219</v>
      </c>
      <c r="G8" s="5" t="s">
        <v>234</v>
      </c>
      <c r="H8" s="5">
        <v>160</v>
      </c>
      <c r="I8" s="5">
        <v>32</v>
      </c>
      <c r="J8" s="5">
        <v>4</v>
      </c>
      <c r="K8" s="5" t="s">
        <v>383</v>
      </c>
    </row>
    <row r="9" spans="1:11">
      <c r="A9" s="5" t="s">
        <v>18</v>
      </c>
      <c r="B9" s="11">
        <v>46061</v>
      </c>
      <c r="C9" s="8">
        <v>0.47222222222222221</v>
      </c>
      <c r="D9" s="5" t="s">
        <v>207</v>
      </c>
      <c r="E9" s="5" t="s">
        <v>211</v>
      </c>
      <c r="F9" s="5" t="s">
        <v>220</v>
      </c>
      <c r="G9" s="5" t="s">
        <v>235</v>
      </c>
      <c r="H9" s="5">
        <v>239</v>
      </c>
      <c r="I9" s="5">
        <v>30</v>
      </c>
      <c r="J9" s="5">
        <v>2</v>
      </c>
      <c r="K9" s="5" t="s">
        <v>384</v>
      </c>
    </row>
    <row r="10" spans="1:11">
      <c r="A10" s="5" t="s">
        <v>19</v>
      </c>
      <c r="B10" s="11">
        <v>46063</v>
      </c>
      <c r="C10" s="8">
        <v>0.60416666666666663</v>
      </c>
      <c r="D10" s="5" t="s">
        <v>204</v>
      </c>
      <c r="E10" s="5" t="s">
        <v>212</v>
      </c>
      <c r="F10" s="5" t="s">
        <v>221</v>
      </c>
      <c r="G10" s="5" t="s">
        <v>236</v>
      </c>
      <c r="H10" s="5">
        <v>280</v>
      </c>
      <c r="I10" s="5">
        <v>12</v>
      </c>
      <c r="J10" s="5">
        <v>5</v>
      </c>
      <c r="K10" s="5" t="s">
        <v>382</v>
      </c>
    </row>
    <row r="11" spans="1:11">
      <c r="A11" s="5" t="s">
        <v>20</v>
      </c>
      <c r="B11" s="12" t="s">
        <v>171</v>
      </c>
      <c r="C11" s="8">
        <v>0.52083333333333337</v>
      </c>
      <c r="D11" s="5" t="s">
        <v>205</v>
      </c>
      <c r="E11" s="5" t="s">
        <v>213</v>
      </c>
      <c r="F11" s="5" t="s">
        <v>222</v>
      </c>
      <c r="G11" s="5" t="s">
        <v>237</v>
      </c>
      <c r="H11" s="5">
        <v>163</v>
      </c>
      <c r="I11" s="5">
        <v>10</v>
      </c>
      <c r="J11" s="5">
        <v>1</v>
      </c>
      <c r="K11" s="5" t="s">
        <v>383</v>
      </c>
    </row>
    <row r="12" spans="1:11">
      <c r="A12" s="5" t="s">
        <v>21</v>
      </c>
      <c r="B12" s="11">
        <v>46065</v>
      </c>
      <c r="C12" s="8">
        <v>0.47916666666666669</v>
      </c>
      <c r="D12" s="5" t="s">
        <v>206</v>
      </c>
      <c r="E12" s="5" t="s">
        <v>209</v>
      </c>
      <c r="F12" s="5" t="s">
        <v>223</v>
      </c>
      <c r="G12" s="5" t="s">
        <v>233</v>
      </c>
      <c r="H12" s="5">
        <v>208</v>
      </c>
      <c r="I12" s="5">
        <v>10</v>
      </c>
      <c r="J12" s="5">
        <v>4</v>
      </c>
      <c r="K12" s="5" t="s">
        <v>382</v>
      </c>
    </row>
    <row r="13" spans="1:11">
      <c r="A13" s="5" t="s">
        <v>22</v>
      </c>
      <c r="B13" s="12" t="s">
        <v>172</v>
      </c>
      <c r="C13" s="8">
        <v>0.52777777777777779</v>
      </c>
      <c r="D13" s="5" t="s">
        <v>203</v>
      </c>
      <c r="E13" s="5" t="s">
        <v>210</v>
      </c>
      <c r="F13" s="5" t="s">
        <v>224</v>
      </c>
      <c r="G13" s="5" t="s">
        <v>261</v>
      </c>
      <c r="H13" s="5">
        <v>272</v>
      </c>
      <c r="I13" s="5">
        <v>20</v>
      </c>
      <c r="J13" s="5">
        <v>2</v>
      </c>
      <c r="K13" s="5" t="s">
        <v>383</v>
      </c>
    </row>
    <row r="14" spans="1:11">
      <c r="A14" s="5" t="s">
        <v>23</v>
      </c>
      <c r="B14" s="12" t="s">
        <v>173</v>
      </c>
      <c r="C14" s="8">
        <v>0.5625</v>
      </c>
      <c r="D14" s="5" t="s">
        <v>203</v>
      </c>
      <c r="E14" s="5" t="s">
        <v>211</v>
      </c>
      <c r="F14" s="5" t="s">
        <v>225</v>
      </c>
      <c r="G14" s="5" t="s">
        <v>262</v>
      </c>
      <c r="H14" s="5">
        <v>242</v>
      </c>
      <c r="I14" s="5">
        <v>20</v>
      </c>
      <c r="J14" s="5">
        <v>4</v>
      </c>
      <c r="K14" s="5" t="s">
        <v>384</v>
      </c>
    </row>
    <row r="15" spans="1:11">
      <c r="A15" s="5" t="s">
        <v>24</v>
      </c>
      <c r="B15" s="12" t="s">
        <v>173</v>
      </c>
      <c r="C15" s="8">
        <v>0.6875</v>
      </c>
      <c r="D15" s="5" t="s">
        <v>207</v>
      </c>
      <c r="E15" s="5" t="s">
        <v>212</v>
      </c>
      <c r="F15" s="5" t="s">
        <v>214</v>
      </c>
      <c r="G15" s="5" t="s">
        <v>238</v>
      </c>
      <c r="H15" s="5">
        <v>123</v>
      </c>
      <c r="I15" s="5">
        <v>20</v>
      </c>
      <c r="J15" s="5">
        <v>3</v>
      </c>
      <c r="K15" s="5" t="s">
        <v>382</v>
      </c>
    </row>
    <row r="16" spans="1:11">
      <c r="A16" s="5" t="s">
        <v>25</v>
      </c>
      <c r="B16" s="11">
        <v>46066</v>
      </c>
      <c r="C16" s="8">
        <v>0.3888888888888889</v>
      </c>
      <c r="D16" s="5" t="s">
        <v>204</v>
      </c>
      <c r="E16" s="5" t="s">
        <v>213</v>
      </c>
      <c r="F16" s="5" t="s">
        <v>215</v>
      </c>
      <c r="G16" s="5" t="s">
        <v>239</v>
      </c>
      <c r="H16" s="5">
        <v>192</v>
      </c>
      <c r="I16" s="5">
        <v>30</v>
      </c>
      <c r="J16" s="5">
        <v>2</v>
      </c>
      <c r="K16" s="5" t="s">
        <v>383</v>
      </c>
    </row>
    <row r="17" spans="1:11">
      <c r="A17" s="5" t="s">
        <v>26</v>
      </c>
      <c r="B17" s="11">
        <v>46067</v>
      </c>
      <c r="C17" s="8">
        <v>0.43055555555555558</v>
      </c>
      <c r="D17" s="5" t="s">
        <v>205</v>
      </c>
      <c r="E17" s="5" t="s">
        <v>212</v>
      </c>
      <c r="F17" s="5" t="s">
        <v>216</v>
      </c>
      <c r="G17" s="5" t="s">
        <v>240</v>
      </c>
      <c r="H17" s="5">
        <v>143</v>
      </c>
      <c r="I17" s="5">
        <v>20</v>
      </c>
      <c r="J17" s="5">
        <v>4</v>
      </c>
      <c r="K17" s="5" t="s">
        <v>384</v>
      </c>
    </row>
    <row r="18" spans="1:11">
      <c r="A18" s="5" t="s">
        <v>27</v>
      </c>
      <c r="B18" s="11">
        <v>46068</v>
      </c>
      <c r="C18" s="8">
        <v>0.56944444444444442</v>
      </c>
      <c r="D18" s="5" t="s">
        <v>206</v>
      </c>
      <c r="E18" s="5" t="s">
        <v>213</v>
      </c>
      <c r="F18" s="5" t="s">
        <v>217</v>
      </c>
      <c r="G18" s="5" t="s">
        <v>241</v>
      </c>
      <c r="H18" s="5">
        <v>277</v>
      </c>
      <c r="I18" s="5">
        <v>34</v>
      </c>
      <c r="J18" s="5">
        <v>1</v>
      </c>
      <c r="K18" s="5" t="s">
        <v>383</v>
      </c>
    </row>
    <row r="19" spans="1:11">
      <c r="A19" s="5" t="s">
        <v>28</v>
      </c>
      <c r="B19" s="11">
        <v>46069</v>
      </c>
      <c r="C19" s="8">
        <v>0.52083333333333337</v>
      </c>
      <c r="D19" s="5" t="s">
        <v>203</v>
      </c>
      <c r="E19" s="5" t="s">
        <v>209</v>
      </c>
      <c r="F19" s="5" t="s">
        <v>218</v>
      </c>
      <c r="G19" s="5" t="s">
        <v>242</v>
      </c>
      <c r="H19" s="5">
        <v>212</v>
      </c>
      <c r="I19" s="5">
        <v>36</v>
      </c>
      <c r="J19" s="5">
        <v>4</v>
      </c>
      <c r="K19" s="5" t="s">
        <v>383</v>
      </c>
    </row>
    <row r="20" spans="1:11">
      <c r="A20" s="5" t="s">
        <v>29</v>
      </c>
      <c r="B20" s="11">
        <v>46070</v>
      </c>
      <c r="C20" s="8">
        <v>0.60416666666666663</v>
      </c>
      <c r="D20" s="5" t="s">
        <v>203</v>
      </c>
      <c r="E20" s="5" t="s">
        <v>210</v>
      </c>
      <c r="F20" s="5" t="s">
        <v>214</v>
      </c>
      <c r="G20" s="5" t="s">
        <v>243</v>
      </c>
      <c r="H20" s="5">
        <v>165</v>
      </c>
      <c r="I20" s="5">
        <v>26</v>
      </c>
      <c r="J20" s="5">
        <v>5</v>
      </c>
      <c r="K20" s="5" t="s">
        <v>382</v>
      </c>
    </row>
    <row r="21" spans="1:11">
      <c r="A21" s="5" t="s">
        <v>30</v>
      </c>
      <c r="B21" s="11">
        <v>46071</v>
      </c>
      <c r="C21" s="8">
        <v>0.47916666666666669</v>
      </c>
      <c r="D21" s="5" t="s">
        <v>207</v>
      </c>
      <c r="E21" s="5" t="s">
        <v>211</v>
      </c>
      <c r="F21" s="5" t="s">
        <v>219</v>
      </c>
      <c r="G21" s="5" t="s">
        <v>244</v>
      </c>
      <c r="H21" s="5">
        <v>153</v>
      </c>
      <c r="I21" s="5">
        <v>18</v>
      </c>
      <c r="J21" s="5">
        <v>4</v>
      </c>
      <c r="K21" s="5" t="s">
        <v>383</v>
      </c>
    </row>
    <row r="22" spans="1:11">
      <c r="A22" s="5" t="s">
        <v>31</v>
      </c>
      <c r="B22" s="11">
        <v>46072</v>
      </c>
      <c r="C22" s="8">
        <v>0.53125</v>
      </c>
      <c r="D22" s="5" t="s">
        <v>204</v>
      </c>
      <c r="E22" s="5" t="s">
        <v>212</v>
      </c>
      <c r="F22" s="5" t="s">
        <v>220</v>
      </c>
      <c r="G22" s="5" t="s">
        <v>245</v>
      </c>
      <c r="H22" s="5">
        <v>127</v>
      </c>
      <c r="I22" s="5">
        <v>229</v>
      </c>
      <c r="J22" s="5">
        <v>2</v>
      </c>
      <c r="K22" s="5" t="s">
        <v>384</v>
      </c>
    </row>
    <row r="23" spans="1:11">
      <c r="A23" s="5" t="s">
        <v>32</v>
      </c>
      <c r="B23" s="11">
        <v>46073</v>
      </c>
      <c r="C23" s="8">
        <v>0.35416666666666669</v>
      </c>
      <c r="D23" s="5" t="s">
        <v>205</v>
      </c>
      <c r="E23" s="5" t="s">
        <v>213</v>
      </c>
      <c r="F23" s="5" t="s">
        <v>221</v>
      </c>
      <c r="G23" s="5" t="s">
        <v>246</v>
      </c>
      <c r="H23" s="5">
        <v>187</v>
      </c>
      <c r="I23" s="5">
        <v>31</v>
      </c>
      <c r="J23" s="5">
        <v>3</v>
      </c>
      <c r="K23" s="5" t="s">
        <v>383</v>
      </c>
    </row>
    <row r="24" spans="1:11">
      <c r="A24" s="5" t="s">
        <v>33</v>
      </c>
      <c r="B24" s="11">
        <v>46074</v>
      </c>
      <c r="C24" s="8">
        <v>0.40625</v>
      </c>
      <c r="D24" s="5" t="s">
        <v>206</v>
      </c>
      <c r="E24" s="5" t="s">
        <v>211</v>
      </c>
      <c r="F24" s="5" t="s">
        <v>222</v>
      </c>
      <c r="G24" s="5" t="s">
        <v>247</v>
      </c>
      <c r="H24" s="5">
        <v>150</v>
      </c>
      <c r="I24" s="5">
        <v>36</v>
      </c>
      <c r="J24" s="5">
        <v>2</v>
      </c>
      <c r="K24" s="5" t="s">
        <v>382</v>
      </c>
    </row>
    <row r="25" spans="1:11">
      <c r="A25" s="5" t="s">
        <v>34</v>
      </c>
      <c r="B25" s="12" t="s">
        <v>174</v>
      </c>
      <c r="C25" s="8">
        <v>0.4375</v>
      </c>
      <c r="D25" s="5" t="s">
        <v>203</v>
      </c>
      <c r="E25" s="5" t="s">
        <v>212</v>
      </c>
      <c r="F25" s="5" t="s">
        <v>223</v>
      </c>
      <c r="G25" s="5" t="s">
        <v>248</v>
      </c>
      <c r="H25" s="5">
        <v>266</v>
      </c>
      <c r="I25" s="5">
        <v>39</v>
      </c>
      <c r="J25" s="5">
        <v>3</v>
      </c>
      <c r="K25" s="5" t="s">
        <v>382</v>
      </c>
    </row>
    <row r="26" spans="1:11">
      <c r="A26" s="5" t="s">
        <v>35</v>
      </c>
      <c r="B26" s="12" t="s">
        <v>175</v>
      </c>
      <c r="C26" s="8">
        <v>0.52083333333333337</v>
      </c>
      <c r="D26" s="5" t="s">
        <v>203</v>
      </c>
      <c r="E26" s="5" t="s">
        <v>213</v>
      </c>
      <c r="F26" s="5" t="s">
        <v>224</v>
      </c>
      <c r="G26" s="5" t="s">
        <v>249</v>
      </c>
      <c r="H26" s="5">
        <v>127</v>
      </c>
      <c r="I26" s="5">
        <v>42</v>
      </c>
      <c r="J26" s="5">
        <v>4</v>
      </c>
      <c r="K26" s="5" t="s">
        <v>383</v>
      </c>
    </row>
    <row r="27" spans="1:11">
      <c r="A27" s="5" t="s">
        <v>36</v>
      </c>
      <c r="B27" s="11">
        <v>46077</v>
      </c>
      <c r="C27" s="8">
        <v>0.47916666666666669</v>
      </c>
      <c r="D27" s="5" t="s">
        <v>207</v>
      </c>
      <c r="E27" s="5" t="s">
        <v>212</v>
      </c>
      <c r="F27" s="5" t="s">
        <v>225</v>
      </c>
      <c r="G27" s="5" t="s">
        <v>250</v>
      </c>
      <c r="H27" s="5">
        <v>235</v>
      </c>
      <c r="I27" s="5">
        <v>14</v>
      </c>
      <c r="J27" s="5">
        <v>3</v>
      </c>
      <c r="K27" s="5" t="s">
        <v>384</v>
      </c>
    </row>
    <row r="28" spans="1:11">
      <c r="A28" s="5" t="s">
        <v>37</v>
      </c>
      <c r="B28" s="11">
        <v>46078</v>
      </c>
      <c r="C28" s="8">
        <v>0.52777777777777779</v>
      </c>
      <c r="D28" s="5" t="s">
        <v>204</v>
      </c>
      <c r="E28" s="5" t="s">
        <v>213</v>
      </c>
      <c r="F28" s="5" t="s">
        <v>222</v>
      </c>
      <c r="G28" s="5" t="s">
        <v>251</v>
      </c>
      <c r="H28" s="5">
        <v>242</v>
      </c>
      <c r="I28" s="5">
        <v>16</v>
      </c>
      <c r="J28" s="5">
        <v>4</v>
      </c>
      <c r="K28" s="5" t="s">
        <v>383</v>
      </c>
    </row>
    <row r="29" spans="1:11">
      <c r="A29" s="5" t="s">
        <v>38</v>
      </c>
      <c r="B29" s="11">
        <v>46079</v>
      </c>
      <c r="C29" s="8">
        <v>0.5625</v>
      </c>
      <c r="D29" s="5" t="s">
        <v>205</v>
      </c>
      <c r="E29" s="5" t="s">
        <v>209</v>
      </c>
      <c r="F29" s="5" t="s">
        <v>223</v>
      </c>
      <c r="G29" s="5" t="s">
        <v>252</v>
      </c>
      <c r="H29" s="5">
        <v>199</v>
      </c>
      <c r="I29" s="5">
        <v>27</v>
      </c>
      <c r="J29" s="5">
        <v>4</v>
      </c>
      <c r="K29" s="5" t="s">
        <v>382</v>
      </c>
    </row>
    <row r="30" spans="1:11">
      <c r="A30" s="5" t="s">
        <v>39</v>
      </c>
      <c r="B30" s="12" t="s">
        <v>176</v>
      </c>
      <c r="C30" s="8">
        <v>0.6875</v>
      </c>
      <c r="D30" s="5" t="s">
        <v>206</v>
      </c>
      <c r="E30" s="5" t="s">
        <v>210</v>
      </c>
      <c r="F30" s="5" t="s">
        <v>224</v>
      </c>
      <c r="G30" s="5" t="s">
        <v>253</v>
      </c>
      <c r="H30" s="5">
        <v>282</v>
      </c>
      <c r="I30" s="5">
        <v>18</v>
      </c>
      <c r="J30" s="5">
        <v>2</v>
      </c>
      <c r="K30" s="5" t="s">
        <v>383</v>
      </c>
    </row>
    <row r="31" spans="1:11">
      <c r="A31" s="5" t="s">
        <v>40</v>
      </c>
      <c r="B31" s="11">
        <v>46081</v>
      </c>
      <c r="C31" s="8">
        <v>0.3888888888888889</v>
      </c>
      <c r="D31" s="5" t="s">
        <v>203</v>
      </c>
      <c r="E31" s="5" t="s">
        <v>211</v>
      </c>
      <c r="F31" s="5" t="s">
        <v>225</v>
      </c>
      <c r="G31" s="5" t="s">
        <v>254</v>
      </c>
      <c r="H31" s="5">
        <v>284</v>
      </c>
      <c r="I31" s="5">
        <v>26</v>
      </c>
      <c r="J31" s="5">
        <v>4</v>
      </c>
      <c r="K31" s="5" t="s">
        <v>384</v>
      </c>
    </row>
    <row r="32" spans="1:11">
      <c r="A32" s="5" t="s">
        <v>41</v>
      </c>
      <c r="B32" s="11">
        <v>46082</v>
      </c>
      <c r="C32" s="8">
        <v>0.43055555555555558</v>
      </c>
      <c r="D32" s="5" t="s">
        <v>203</v>
      </c>
      <c r="E32" s="5" t="s">
        <v>212</v>
      </c>
      <c r="F32" s="5" t="s">
        <v>214</v>
      </c>
      <c r="G32" s="5" t="s">
        <v>255</v>
      </c>
      <c r="H32" s="5">
        <v>137</v>
      </c>
      <c r="I32" s="5">
        <v>19</v>
      </c>
      <c r="J32" s="5">
        <v>4</v>
      </c>
      <c r="K32" s="5" t="s">
        <v>383</v>
      </c>
    </row>
    <row r="33" spans="1:11">
      <c r="A33" s="5" t="s">
        <v>42</v>
      </c>
      <c r="B33" s="11">
        <v>46083</v>
      </c>
      <c r="C33" s="8">
        <v>0.56944444444444442</v>
      </c>
      <c r="D33" s="5" t="s">
        <v>207</v>
      </c>
      <c r="E33" s="5" t="s">
        <v>213</v>
      </c>
      <c r="F33" s="5" t="s">
        <v>215</v>
      </c>
      <c r="G33" s="5" t="s">
        <v>256</v>
      </c>
      <c r="H33" s="5">
        <v>139</v>
      </c>
      <c r="I33" s="5">
        <v>18</v>
      </c>
      <c r="J33" s="5">
        <v>3</v>
      </c>
      <c r="K33" s="5" t="s">
        <v>384</v>
      </c>
    </row>
    <row r="34" spans="1:11">
      <c r="A34" s="5" t="s">
        <v>43</v>
      </c>
      <c r="B34" s="12" t="s">
        <v>177</v>
      </c>
      <c r="C34" s="8">
        <v>0.52083333333333337</v>
      </c>
      <c r="D34" s="5" t="s">
        <v>204</v>
      </c>
      <c r="E34" s="5" t="s">
        <v>209</v>
      </c>
      <c r="F34" s="5" t="s">
        <v>216</v>
      </c>
      <c r="G34" s="5" t="s">
        <v>257</v>
      </c>
      <c r="H34" s="5">
        <v>164</v>
      </c>
      <c r="I34" s="5">
        <v>27</v>
      </c>
      <c r="J34" s="5">
        <v>5</v>
      </c>
      <c r="K34" s="5" t="s">
        <v>382</v>
      </c>
    </row>
    <row r="35" spans="1:11">
      <c r="A35" s="5" t="s">
        <v>44</v>
      </c>
      <c r="B35" s="11">
        <v>46085</v>
      </c>
      <c r="C35" s="8">
        <v>0.60416666666666663</v>
      </c>
      <c r="D35" s="5" t="s">
        <v>205</v>
      </c>
      <c r="E35" s="5" t="s">
        <v>210</v>
      </c>
      <c r="F35" s="5" t="s">
        <v>217</v>
      </c>
      <c r="G35" s="5" t="s">
        <v>258</v>
      </c>
      <c r="H35" s="5">
        <v>205</v>
      </c>
      <c r="I35" s="5">
        <v>37</v>
      </c>
      <c r="J35" s="5">
        <v>3</v>
      </c>
      <c r="K35" s="5" t="s">
        <v>382</v>
      </c>
    </row>
    <row r="36" spans="1:11">
      <c r="A36" s="5" t="s">
        <v>45</v>
      </c>
      <c r="B36" s="12" t="s">
        <v>178</v>
      </c>
      <c r="C36" s="8">
        <v>0.47916666666666669</v>
      </c>
      <c r="D36" s="5" t="s">
        <v>206</v>
      </c>
      <c r="E36" s="5" t="s">
        <v>211</v>
      </c>
      <c r="F36" s="5" t="s">
        <v>218</v>
      </c>
      <c r="G36" s="5" t="s">
        <v>385</v>
      </c>
      <c r="H36" s="5">
        <v>293</v>
      </c>
      <c r="I36" s="5">
        <v>18</v>
      </c>
      <c r="J36" s="5">
        <v>3</v>
      </c>
      <c r="K36" s="5" t="s">
        <v>383</v>
      </c>
    </row>
    <row r="37" spans="1:11">
      <c r="A37" s="5" t="s">
        <v>46</v>
      </c>
      <c r="B37" s="11">
        <v>46087</v>
      </c>
      <c r="C37" s="8">
        <v>0.53125</v>
      </c>
      <c r="D37" s="5" t="s">
        <v>203</v>
      </c>
      <c r="E37" s="5" t="s">
        <v>212</v>
      </c>
      <c r="F37" s="5" t="s">
        <v>214</v>
      </c>
      <c r="G37" s="5" t="s">
        <v>259</v>
      </c>
      <c r="H37" s="5">
        <v>106</v>
      </c>
      <c r="I37" s="5">
        <v>26</v>
      </c>
      <c r="J37" s="5">
        <v>3</v>
      </c>
      <c r="K37" s="5" t="s">
        <v>383</v>
      </c>
    </row>
    <row r="38" spans="1:11">
      <c r="A38" s="5" t="s">
        <v>47</v>
      </c>
      <c r="B38" s="11">
        <v>46088</v>
      </c>
      <c r="C38" s="8">
        <v>0.35416666666666669</v>
      </c>
      <c r="D38" s="5" t="s">
        <v>203</v>
      </c>
      <c r="E38" s="5" t="s">
        <v>213</v>
      </c>
      <c r="F38" s="5" t="s">
        <v>215</v>
      </c>
      <c r="G38" s="5" t="s">
        <v>237</v>
      </c>
      <c r="H38" s="5">
        <v>171</v>
      </c>
      <c r="I38" s="5">
        <v>28</v>
      </c>
      <c r="J38" s="5">
        <v>2</v>
      </c>
      <c r="K38" s="5" t="s">
        <v>382</v>
      </c>
    </row>
    <row r="39" spans="1:11">
      <c r="A39" s="5" t="s">
        <v>48</v>
      </c>
      <c r="B39" s="11">
        <v>46089</v>
      </c>
      <c r="C39" s="8">
        <v>0.40625</v>
      </c>
      <c r="D39" s="5" t="s">
        <v>207</v>
      </c>
      <c r="E39" s="5" t="s">
        <v>209</v>
      </c>
      <c r="F39" s="5" t="s">
        <v>216</v>
      </c>
      <c r="G39" s="5" t="s">
        <v>262</v>
      </c>
      <c r="H39" s="5">
        <v>253</v>
      </c>
      <c r="I39" s="5">
        <v>16</v>
      </c>
      <c r="J39" s="5">
        <v>4</v>
      </c>
      <c r="K39" s="5" t="s">
        <v>382</v>
      </c>
    </row>
    <row r="40" spans="1:11">
      <c r="A40" s="5" t="s">
        <v>49</v>
      </c>
      <c r="B40" s="11">
        <v>46090</v>
      </c>
      <c r="C40" s="8">
        <v>0.4375</v>
      </c>
      <c r="D40" s="5" t="s">
        <v>204</v>
      </c>
      <c r="E40" s="5" t="s">
        <v>210</v>
      </c>
      <c r="F40" s="5" t="s">
        <v>217</v>
      </c>
      <c r="G40" s="5" t="s">
        <v>260</v>
      </c>
      <c r="H40" s="5">
        <v>164</v>
      </c>
      <c r="I40" s="5">
        <v>18</v>
      </c>
      <c r="J40" s="5">
        <v>2</v>
      </c>
      <c r="K40" s="5" t="s">
        <v>383</v>
      </c>
    </row>
    <row r="41" spans="1:11">
      <c r="A41" s="5" t="s">
        <v>50</v>
      </c>
      <c r="B41" s="11">
        <v>46091</v>
      </c>
      <c r="C41" s="8">
        <v>0.36458333333333331</v>
      </c>
      <c r="D41" s="5" t="s">
        <v>204</v>
      </c>
      <c r="E41" s="5" t="s">
        <v>211</v>
      </c>
      <c r="F41" s="5" t="s">
        <v>218</v>
      </c>
      <c r="G41" s="5" t="s">
        <v>245</v>
      </c>
      <c r="H41" s="5">
        <v>151</v>
      </c>
      <c r="I41" s="5">
        <v>18</v>
      </c>
      <c r="J41" s="5">
        <v>4</v>
      </c>
      <c r="K41" s="5" t="s">
        <v>382</v>
      </c>
    </row>
    <row r="42" spans="1:11">
      <c r="A42" s="5" t="s">
        <v>51</v>
      </c>
      <c r="B42" s="12" t="s">
        <v>179</v>
      </c>
      <c r="C42" s="8">
        <v>0.36805555555555558</v>
      </c>
      <c r="D42" s="5" t="s">
        <v>205</v>
      </c>
      <c r="E42" s="5" t="s">
        <v>212</v>
      </c>
      <c r="F42" s="5" t="s">
        <v>214</v>
      </c>
      <c r="G42" s="5" t="s">
        <v>263</v>
      </c>
      <c r="H42" s="5">
        <v>163</v>
      </c>
      <c r="I42" s="5">
        <v>27</v>
      </c>
      <c r="J42" s="5">
        <v>1</v>
      </c>
      <c r="K42" s="5" t="s">
        <v>383</v>
      </c>
    </row>
    <row r="43" spans="1:11">
      <c r="A43" s="5" t="s">
        <v>52</v>
      </c>
      <c r="B43" s="11">
        <v>46093</v>
      </c>
      <c r="C43" s="8">
        <v>0.39583333333333331</v>
      </c>
      <c r="D43" s="5" t="s">
        <v>206</v>
      </c>
      <c r="E43" s="5" t="s">
        <v>213</v>
      </c>
      <c r="F43" s="5" t="s">
        <v>219</v>
      </c>
      <c r="G43" s="5" t="s">
        <v>264</v>
      </c>
      <c r="H43" s="5">
        <v>230</v>
      </c>
      <c r="I43" s="5">
        <v>39</v>
      </c>
      <c r="J43" s="5">
        <v>5</v>
      </c>
      <c r="K43" s="5" t="s">
        <v>384</v>
      </c>
    </row>
    <row r="44" spans="1:11">
      <c r="A44" s="5" t="s">
        <v>53</v>
      </c>
      <c r="B44" s="11">
        <v>46094</v>
      </c>
      <c r="C44" s="8">
        <v>0.4375</v>
      </c>
      <c r="D44" s="5" t="s">
        <v>203</v>
      </c>
      <c r="E44" s="5" t="s">
        <v>212</v>
      </c>
      <c r="F44" s="5" t="s">
        <v>220</v>
      </c>
      <c r="G44" s="5" t="s">
        <v>265</v>
      </c>
      <c r="H44" s="5">
        <v>300</v>
      </c>
      <c r="I44" s="5">
        <v>27</v>
      </c>
      <c r="J44" s="5">
        <v>1</v>
      </c>
      <c r="K44" s="5" t="s">
        <v>382</v>
      </c>
    </row>
    <row r="45" spans="1:11">
      <c r="A45" s="5" t="s">
        <v>54</v>
      </c>
      <c r="B45" s="12" t="s">
        <v>180</v>
      </c>
      <c r="C45" s="8">
        <v>0.48958333333333331</v>
      </c>
      <c r="D45" s="5" t="s">
        <v>203</v>
      </c>
      <c r="E45" s="5" t="s">
        <v>213</v>
      </c>
      <c r="F45" s="5" t="s">
        <v>221</v>
      </c>
      <c r="G45" s="5" t="s">
        <v>266</v>
      </c>
      <c r="H45" s="5">
        <v>247</v>
      </c>
      <c r="I45" s="5">
        <v>22</v>
      </c>
      <c r="J45" s="5">
        <v>2</v>
      </c>
      <c r="K45" s="5" t="s">
        <v>382</v>
      </c>
    </row>
    <row r="46" spans="1:11">
      <c r="A46" s="5" t="s">
        <v>55</v>
      </c>
      <c r="B46" s="11">
        <v>46096</v>
      </c>
      <c r="C46" s="8">
        <v>0.51388888888888884</v>
      </c>
      <c r="D46" s="5" t="s">
        <v>207</v>
      </c>
      <c r="E46" s="5" t="s">
        <v>209</v>
      </c>
      <c r="F46" s="5" t="s">
        <v>222</v>
      </c>
      <c r="G46" s="5" t="s">
        <v>267</v>
      </c>
      <c r="H46" s="5">
        <v>290</v>
      </c>
      <c r="I46" s="5">
        <v>12</v>
      </c>
      <c r="J46" s="5">
        <v>3</v>
      </c>
      <c r="K46" s="5" t="s">
        <v>382</v>
      </c>
    </row>
    <row r="47" spans="1:11">
      <c r="A47" s="5" t="s">
        <v>56</v>
      </c>
      <c r="B47" s="12" t="s">
        <v>181</v>
      </c>
      <c r="C47" s="8">
        <v>0.61111111111111116</v>
      </c>
      <c r="D47" s="5" t="s">
        <v>204</v>
      </c>
      <c r="E47" s="5" t="s">
        <v>210</v>
      </c>
      <c r="F47" s="5" t="s">
        <v>223</v>
      </c>
      <c r="G47" s="5" t="s">
        <v>268</v>
      </c>
      <c r="H47" s="5">
        <v>143</v>
      </c>
      <c r="I47" s="5">
        <v>18</v>
      </c>
      <c r="J47" s="5">
        <v>4</v>
      </c>
      <c r="K47" s="5" t="s">
        <v>383</v>
      </c>
    </row>
    <row r="48" spans="1:11">
      <c r="A48" s="5" t="s">
        <v>57</v>
      </c>
      <c r="B48" s="11">
        <v>46098</v>
      </c>
      <c r="C48" s="8">
        <v>0.65972222222222221</v>
      </c>
      <c r="D48" s="5" t="s">
        <v>205</v>
      </c>
      <c r="E48" s="5" t="s">
        <v>211</v>
      </c>
      <c r="F48" s="5" t="s">
        <v>224</v>
      </c>
      <c r="G48" s="5" t="s">
        <v>269</v>
      </c>
      <c r="H48" s="5">
        <v>279</v>
      </c>
      <c r="I48" s="5">
        <v>28</v>
      </c>
      <c r="J48" s="5">
        <v>1</v>
      </c>
      <c r="K48" s="5" t="s">
        <v>382</v>
      </c>
    </row>
    <row r="49" spans="1:11">
      <c r="A49" s="5" t="s">
        <v>58</v>
      </c>
      <c r="B49" s="11">
        <v>46099</v>
      </c>
      <c r="C49" s="8">
        <v>0.68055555555555558</v>
      </c>
      <c r="D49" s="5" t="s">
        <v>206</v>
      </c>
      <c r="E49" s="5" t="s">
        <v>212</v>
      </c>
      <c r="F49" s="5" t="s">
        <v>225</v>
      </c>
      <c r="G49" s="5" t="s">
        <v>270</v>
      </c>
      <c r="H49" s="5">
        <v>296</v>
      </c>
      <c r="I49" s="5">
        <v>30</v>
      </c>
      <c r="J49" s="5">
        <v>4</v>
      </c>
      <c r="K49" s="5" t="s">
        <v>383</v>
      </c>
    </row>
    <row r="50" spans="1:11">
      <c r="A50" s="5" t="s">
        <v>59</v>
      </c>
      <c r="B50" s="12" t="s">
        <v>182</v>
      </c>
      <c r="C50" s="8">
        <v>0.73611111111111116</v>
      </c>
      <c r="D50" s="5" t="s">
        <v>203</v>
      </c>
      <c r="E50" s="5" t="s">
        <v>213</v>
      </c>
      <c r="F50" s="5" t="s">
        <v>214</v>
      </c>
      <c r="G50" s="5" t="s">
        <v>271</v>
      </c>
      <c r="H50" s="5">
        <v>161</v>
      </c>
      <c r="I50" s="5">
        <v>23</v>
      </c>
      <c r="J50" s="5">
        <v>1</v>
      </c>
      <c r="K50" s="5" t="s">
        <v>384</v>
      </c>
    </row>
    <row r="51" spans="1:11">
      <c r="A51" s="5" t="s">
        <v>60</v>
      </c>
      <c r="B51" s="11">
        <v>46101</v>
      </c>
      <c r="C51" s="8">
        <v>0.77083333333333337</v>
      </c>
      <c r="D51" s="5" t="s">
        <v>203</v>
      </c>
      <c r="E51" s="5" t="s">
        <v>211</v>
      </c>
      <c r="F51" s="5" t="s">
        <v>219</v>
      </c>
      <c r="G51" s="5" t="s">
        <v>272</v>
      </c>
      <c r="H51" s="5">
        <v>287</v>
      </c>
      <c r="I51" s="5">
        <v>15</v>
      </c>
      <c r="J51" s="5">
        <v>5</v>
      </c>
      <c r="K51" s="5" t="s">
        <v>383</v>
      </c>
    </row>
    <row r="52" spans="1:11">
      <c r="A52" s="5" t="s">
        <v>61</v>
      </c>
      <c r="B52" s="12" t="s">
        <v>183</v>
      </c>
      <c r="C52" s="8">
        <v>0.82291666666666663</v>
      </c>
      <c r="D52" s="5" t="s">
        <v>206</v>
      </c>
      <c r="E52" s="5" t="s">
        <v>212</v>
      </c>
      <c r="F52" s="5" t="s">
        <v>220</v>
      </c>
      <c r="G52" s="5" t="s">
        <v>273</v>
      </c>
      <c r="H52" s="5">
        <v>196</v>
      </c>
      <c r="I52" s="5">
        <v>12</v>
      </c>
      <c r="J52" s="5">
        <v>2</v>
      </c>
      <c r="K52" s="5" t="s">
        <v>382</v>
      </c>
    </row>
    <row r="53" spans="1:11">
      <c r="A53" s="5" t="s">
        <v>62</v>
      </c>
      <c r="B53" s="11">
        <v>46103</v>
      </c>
      <c r="C53" s="8">
        <v>0.52083333333333337</v>
      </c>
      <c r="D53" s="5" t="s">
        <v>203</v>
      </c>
      <c r="E53" s="5" t="s">
        <v>213</v>
      </c>
      <c r="F53" s="5" t="s">
        <v>221</v>
      </c>
      <c r="G53" s="5" t="s">
        <v>274</v>
      </c>
      <c r="H53" s="5">
        <v>210</v>
      </c>
      <c r="I53" s="5">
        <v>40</v>
      </c>
      <c r="J53" s="5">
        <v>4</v>
      </c>
      <c r="K53" s="5" t="s">
        <v>383</v>
      </c>
    </row>
    <row r="54" spans="1:11">
      <c r="A54" s="5" t="s">
        <v>63</v>
      </c>
      <c r="B54" s="11">
        <v>46104</v>
      </c>
      <c r="C54" s="8">
        <v>0.84722222222222221</v>
      </c>
      <c r="D54" s="5" t="s">
        <v>203</v>
      </c>
      <c r="E54" s="5" t="s">
        <v>212</v>
      </c>
      <c r="F54" s="5" t="s">
        <v>222</v>
      </c>
      <c r="G54" s="5" t="s">
        <v>275</v>
      </c>
      <c r="H54" s="5">
        <v>267</v>
      </c>
      <c r="I54" s="5">
        <v>25</v>
      </c>
      <c r="J54" s="5">
        <v>2</v>
      </c>
      <c r="K54" s="5" t="s">
        <v>383</v>
      </c>
    </row>
    <row r="55" spans="1:11">
      <c r="A55" s="5" t="s">
        <v>64</v>
      </c>
      <c r="B55" s="11">
        <v>46105</v>
      </c>
      <c r="C55" s="8">
        <v>0.88541666666666663</v>
      </c>
      <c r="D55" s="5" t="s">
        <v>207</v>
      </c>
      <c r="E55" s="5" t="s">
        <v>213</v>
      </c>
      <c r="F55" s="5" t="s">
        <v>223</v>
      </c>
      <c r="G55" s="5" t="s">
        <v>276</v>
      </c>
      <c r="H55" s="5">
        <v>130</v>
      </c>
      <c r="I55" s="5">
        <v>32</v>
      </c>
      <c r="J55" s="5">
        <v>3</v>
      </c>
      <c r="K55" s="5" t="s">
        <v>382</v>
      </c>
    </row>
    <row r="56" spans="1:11">
      <c r="A56" s="5" t="s">
        <v>65</v>
      </c>
      <c r="B56" s="12" t="s">
        <v>189</v>
      </c>
      <c r="C56" s="8">
        <v>0.92361111111111116</v>
      </c>
      <c r="D56" s="5" t="s">
        <v>204</v>
      </c>
      <c r="E56" s="5" t="s">
        <v>209</v>
      </c>
      <c r="F56" s="5" t="s">
        <v>224</v>
      </c>
      <c r="G56" s="5" t="s">
        <v>277</v>
      </c>
      <c r="H56" s="5">
        <v>105</v>
      </c>
      <c r="I56" s="5">
        <v>30</v>
      </c>
      <c r="J56" s="5">
        <v>2</v>
      </c>
      <c r="K56" s="5" t="s">
        <v>383</v>
      </c>
    </row>
    <row r="57" spans="1:11">
      <c r="A57" s="5" t="s">
        <v>66</v>
      </c>
      <c r="B57" s="11">
        <v>46107</v>
      </c>
      <c r="C57" s="8">
        <v>0.52083333333333337</v>
      </c>
      <c r="D57" s="5" t="s">
        <v>204</v>
      </c>
      <c r="E57" s="5" t="s">
        <v>210</v>
      </c>
      <c r="F57" s="5" t="s">
        <v>225</v>
      </c>
      <c r="G57" s="5" t="s">
        <v>278</v>
      </c>
      <c r="H57" s="5">
        <v>153</v>
      </c>
      <c r="I57" s="5">
        <v>12</v>
      </c>
      <c r="J57" s="5">
        <v>4</v>
      </c>
      <c r="K57" s="5" t="s">
        <v>384</v>
      </c>
    </row>
    <row r="58" spans="1:11">
      <c r="A58" s="5" t="s">
        <v>67</v>
      </c>
      <c r="B58" s="11">
        <v>46108</v>
      </c>
      <c r="C58" s="8">
        <v>0.44791666666666669</v>
      </c>
      <c r="D58" s="5" t="s">
        <v>205</v>
      </c>
      <c r="E58" s="5" t="s">
        <v>211</v>
      </c>
      <c r="F58" s="5" t="s">
        <v>217</v>
      </c>
      <c r="G58" s="5" t="s">
        <v>279</v>
      </c>
      <c r="H58" s="5">
        <v>217</v>
      </c>
      <c r="I58" s="5">
        <v>10</v>
      </c>
      <c r="J58" s="5">
        <v>2</v>
      </c>
      <c r="K58" s="5" t="s">
        <v>383</v>
      </c>
    </row>
    <row r="59" spans="1:11">
      <c r="A59" s="5" t="s">
        <v>68</v>
      </c>
      <c r="B59" s="11">
        <v>46109</v>
      </c>
      <c r="C59" s="8">
        <v>0.47916666666666669</v>
      </c>
      <c r="D59" s="5" t="s">
        <v>206</v>
      </c>
      <c r="E59" s="5" t="s">
        <v>209</v>
      </c>
      <c r="F59" s="5" t="s">
        <v>218</v>
      </c>
      <c r="G59" s="5" t="s">
        <v>280</v>
      </c>
      <c r="H59" s="5">
        <v>140</v>
      </c>
      <c r="I59" s="5">
        <v>10</v>
      </c>
      <c r="J59" s="5">
        <v>1</v>
      </c>
      <c r="K59" s="5" t="s">
        <v>383</v>
      </c>
    </row>
    <row r="60" spans="1:11">
      <c r="A60" s="5" t="s">
        <v>69</v>
      </c>
      <c r="B60" s="11">
        <v>46110</v>
      </c>
      <c r="C60" s="8">
        <v>0.5</v>
      </c>
      <c r="D60" s="5" t="s">
        <v>203</v>
      </c>
      <c r="E60" s="5" t="s">
        <v>211</v>
      </c>
      <c r="F60" s="5" t="s">
        <v>214</v>
      </c>
      <c r="G60" s="5" t="s">
        <v>281</v>
      </c>
      <c r="H60" s="5">
        <v>283</v>
      </c>
      <c r="I60" s="5">
        <v>20</v>
      </c>
      <c r="J60" s="5">
        <v>4</v>
      </c>
      <c r="K60" s="5" t="s">
        <v>384</v>
      </c>
    </row>
    <row r="61" spans="1:11">
      <c r="A61" s="5" t="s">
        <v>70</v>
      </c>
      <c r="B61" s="12" t="s">
        <v>190</v>
      </c>
      <c r="C61" s="8">
        <v>0.59722222222222221</v>
      </c>
      <c r="D61" s="5" t="s">
        <v>203</v>
      </c>
      <c r="E61" s="5" t="s">
        <v>213</v>
      </c>
      <c r="F61" s="5" t="s">
        <v>219</v>
      </c>
      <c r="G61" s="5" t="s">
        <v>282</v>
      </c>
      <c r="H61" s="5">
        <v>213</v>
      </c>
      <c r="I61" s="5">
        <v>20</v>
      </c>
      <c r="J61" s="5">
        <v>2</v>
      </c>
      <c r="K61" s="5" t="s">
        <v>382</v>
      </c>
    </row>
    <row r="62" spans="1:11">
      <c r="A62" s="5" t="s">
        <v>71</v>
      </c>
      <c r="B62" s="11">
        <v>46112</v>
      </c>
      <c r="C62" s="8">
        <v>0.64513888888888893</v>
      </c>
      <c r="D62" s="5" t="s">
        <v>207</v>
      </c>
      <c r="E62" s="5" t="s">
        <v>212</v>
      </c>
      <c r="F62" s="5" t="s">
        <v>220</v>
      </c>
      <c r="G62" s="5" t="s">
        <v>283</v>
      </c>
      <c r="H62" s="5">
        <v>252</v>
      </c>
      <c r="I62" s="5">
        <v>20</v>
      </c>
      <c r="J62" s="5">
        <v>4</v>
      </c>
      <c r="K62" s="5" t="s">
        <v>383</v>
      </c>
    </row>
    <row r="63" spans="1:11">
      <c r="A63" s="5" t="s">
        <v>72</v>
      </c>
      <c r="B63" s="11">
        <v>46113</v>
      </c>
      <c r="C63" s="8">
        <v>0.62638888888888888</v>
      </c>
      <c r="D63" s="5" t="s">
        <v>204</v>
      </c>
      <c r="E63" s="5" t="s">
        <v>210</v>
      </c>
      <c r="F63" s="5" t="s">
        <v>221</v>
      </c>
      <c r="G63" s="5" t="s">
        <v>284</v>
      </c>
      <c r="H63" s="5">
        <v>218</v>
      </c>
      <c r="I63" s="5">
        <v>30</v>
      </c>
      <c r="J63" s="5">
        <v>3</v>
      </c>
      <c r="K63" s="5" t="s">
        <v>384</v>
      </c>
    </row>
    <row r="64" spans="1:11">
      <c r="A64" s="5" t="s">
        <v>73</v>
      </c>
      <c r="B64" s="12" t="s">
        <v>184</v>
      </c>
      <c r="C64" s="8">
        <v>0.52500000000000002</v>
      </c>
      <c r="D64" s="5" t="s">
        <v>205</v>
      </c>
      <c r="E64" s="5" t="s">
        <v>210</v>
      </c>
      <c r="F64" s="5" t="s">
        <v>222</v>
      </c>
      <c r="G64" s="5" t="s">
        <v>285</v>
      </c>
      <c r="H64" s="5">
        <v>151</v>
      </c>
      <c r="I64" s="5">
        <v>20</v>
      </c>
      <c r="J64" s="5">
        <v>4</v>
      </c>
      <c r="K64" s="5" t="s">
        <v>383</v>
      </c>
    </row>
    <row r="65" spans="1:11">
      <c r="A65" s="5" t="s">
        <v>74</v>
      </c>
      <c r="B65" s="11">
        <v>46115</v>
      </c>
      <c r="C65" s="8">
        <v>0.6694444444444444</v>
      </c>
      <c r="D65" s="5" t="s">
        <v>206</v>
      </c>
      <c r="E65" s="5" t="s">
        <v>211</v>
      </c>
      <c r="F65" s="5" t="s">
        <v>223</v>
      </c>
      <c r="G65" s="5" t="s">
        <v>286</v>
      </c>
      <c r="H65" s="5">
        <v>215</v>
      </c>
      <c r="I65" s="5">
        <v>34</v>
      </c>
      <c r="J65" s="5">
        <v>2</v>
      </c>
      <c r="K65" s="5" t="s">
        <v>383</v>
      </c>
    </row>
    <row r="66" spans="1:11">
      <c r="A66" s="5" t="s">
        <v>75</v>
      </c>
      <c r="B66" s="11">
        <v>46116</v>
      </c>
      <c r="C66" s="8">
        <v>0.67361111111111116</v>
      </c>
      <c r="D66" s="5" t="s">
        <v>203</v>
      </c>
      <c r="E66" s="5" t="s">
        <v>212</v>
      </c>
      <c r="F66" s="5" t="s">
        <v>224</v>
      </c>
      <c r="G66" s="5" t="s">
        <v>287</v>
      </c>
      <c r="H66" s="5">
        <v>227</v>
      </c>
      <c r="I66" s="5">
        <v>36</v>
      </c>
      <c r="J66" s="5">
        <v>5</v>
      </c>
      <c r="K66" s="5" t="s">
        <v>383</v>
      </c>
    </row>
    <row r="67" spans="1:11">
      <c r="A67" s="5" t="s">
        <v>76</v>
      </c>
      <c r="B67" s="12" t="s">
        <v>185</v>
      </c>
      <c r="C67" s="8">
        <v>0.69791666666666663</v>
      </c>
      <c r="D67" s="5" t="s">
        <v>203</v>
      </c>
      <c r="E67" s="5" t="s">
        <v>213</v>
      </c>
      <c r="F67" s="5" t="s">
        <v>225</v>
      </c>
      <c r="G67" s="5" t="s">
        <v>288</v>
      </c>
      <c r="H67" s="5">
        <v>145</v>
      </c>
      <c r="I67" s="5">
        <v>26</v>
      </c>
      <c r="J67" s="5">
        <v>5</v>
      </c>
      <c r="K67" s="5" t="s">
        <v>384</v>
      </c>
    </row>
    <row r="68" spans="1:11">
      <c r="A68" s="5" t="s">
        <v>77</v>
      </c>
      <c r="B68" s="12" t="s">
        <v>186</v>
      </c>
      <c r="C68" s="8">
        <v>0.77083333333333337</v>
      </c>
      <c r="D68" s="5" t="s">
        <v>205</v>
      </c>
      <c r="E68" s="5" t="s">
        <v>209</v>
      </c>
      <c r="F68" s="5" t="s">
        <v>214</v>
      </c>
      <c r="G68" s="5" t="s">
        <v>289</v>
      </c>
      <c r="H68" s="5">
        <v>253</v>
      </c>
      <c r="I68" s="5">
        <v>18</v>
      </c>
      <c r="J68" s="5">
        <v>5</v>
      </c>
      <c r="K68" s="5" t="s">
        <v>382</v>
      </c>
    </row>
    <row r="69" spans="1:11">
      <c r="A69" s="5" t="s">
        <v>78</v>
      </c>
      <c r="B69" s="12" t="s">
        <v>187</v>
      </c>
      <c r="C69" s="8">
        <v>0.56944444444444442</v>
      </c>
      <c r="D69" s="5" t="s">
        <v>206</v>
      </c>
      <c r="E69" s="5" t="s">
        <v>210</v>
      </c>
      <c r="F69" s="5" t="s">
        <v>219</v>
      </c>
      <c r="G69" s="5" t="s">
        <v>290</v>
      </c>
      <c r="H69" s="5">
        <v>243</v>
      </c>
      <c r="I69" s="5">
        <v>29</v>
      </c>
      <c r="J69" s="5">
        <v>2</v>
      </c>
      <c r="K69" s="5" t="s">
        <v>382</v>
      </c>
    </row>
    <row r="70" spans="1:11">
      <c r="A70" s="5" t="s">
        <v>79</v>
      </c>
      <c r="B70" s="11">
        <v>46120</v>
      </c>
      <c r="C70" s="8">
        <v>0.52083333333333337</v>
      </c>
      <c r="D70" s="5" t="s">
        <v>203</v>
      </c>
      <c r="E70" s="5" t="s">
        <v>211</v>
      </c>
      <c r="F70" s="5" t="s">
        <v>220</v>
      </c>
      <c r="G70" s="5" t="s">
        <v>291</v>
      </c>
      <c r="H70" s="5">
        <v>273</v>
      </c>
      <c r="I70" s="5">
        <v>31</v>
      </c>
      <c r="J70" s="5">
        <v>3</v>
      </c>
      <c r="K70" s="5" t="s">
        <v>383</v>
      </c>
    </row>
    <row r="71" spans="1:11">
      <c r="A71" s="5" t="s">
        <v>80</v>
      </c>
      <c r="B71" s="11">
        <v>46121</v>
      </c>
      <c r="C71" s="8">
        <v>0.60416666666666663</v>
      </c>
      <c r="D71" s="5" t="s">
        <v>203</v>
      </c>
      <c r="E71" s="5" t="s">
        <v>212</v>
      </c>
      <c r="F71" s="5" t="s">
        <v>221</v>
      </c>
      <c r="G71" s="5" t="s">
        <v>292</v>
      </c>
      <c r="H71" s="5">
        <v>208</v>
      </c>
      <c r="I71" s="5">
        <v>36</v>
      </c>
      <c r="J71" s="5">
        <v>4</v>
      </c>
      <c r="K71" s="5" t="s">
        <v>384</v>
      </c>
    </row>
    <row r="72" spans="1:11">
      <c r="A72" s="5" t="s">
        <v>81</v>
      </c>
      <c r="B72" s="11">
        <v>46122</v>
      </c>
      <c r="C72" s="8">
        <v>0.47916666666666669</v>
      </c>
      <c r="D72" s="5" t="s">
        <v>207</v>
      </c>
      <c r="E72" s="5" t="s">
        <v>213</v>
      </c>
      <c r="F72" s="5" t="s">
        <v>222</v>
      </c>
      <c r="G72" s="5" t="s">
        <v>293</v>
      </c>
      <c r="H72" s="5">
        <v>290</v>
      </c>
      <c r="I72" s="5">
        <v>39</v>
      </c>
      <c r="J72" s="5">
        <v>3</v>
      </c>
      <c r="K72" s="5" t="s">
        <v>383</v>
      </c>
    </row>
    <row r="73" spans="1:11">
      <c r="A73" s="5" t="s">
        <v>82</v>
      </c>
      <c r="B73" s="11">
        <v>46123</v>
      </c>
      <c r="C73" s="8">
        <v>0.53125</v>
      </c>
      <c r="D73" s="5" t="s">
        <v>204</v>
      </c>
      <c r="E73" s="5" t="s">
        <v>212</v>
      </c>
      <c r="F73" s="5" t="s">
        <v>223</v>
      </c>
      <c r="G73" s="5" t="s">
        <v>294</v>
      </c>
      <c r="H73" s="5">
        <v>107</v>
      </c>
      <c r="I73" s="5">
        <v>42</v>
      </c>
      <c r="J73" s="5">
        <v>1</v>
      </c>
      <c r="K73" s="5" t="s">
        <v>382</v>
      </c>
    </row>
    <row r="74" spans="1:11">
      <c r="A74" s="5" t="s">
        <v>83</v>
      </c>
      <c r="B74" s="11">
        <v>46124</v>
      </c>
      <c r="C74" s="8">
        <v>0.35416666666666669</v>
      </c>
      <c r="D74" s="5" t="s">
        <v>203</v>
      </c>
      <c r="E74" s="5" t="s">
        <v>213</v>
      </c>
      <c r="F74" s="5" t="s">
        <v>224</v>
      </c>
      <c r="G74" s="5" t="s">
        <v>295</v>
      </c>
      <c r="H74" s="5">
        <v>111</v>
      </c>
      <c r="I74" s="5">
        <v>14</v>
      </c>
      <c r="J74" s="5">
        <v>2</v>
      </c>
      <c r="K74" s="5" t="s">
        <v>382</v>
      </c>
    </row>
    <row r="75" spans="1:11">
      <c r="A75" s="5" t="s">
        <v>84</v>
      </c>
      <c r="B75" s="12" t="s">
        <v>188</v>
      </c>
      <c r="C75" s="8">
        <v>0.40625</v>
      </c>
      <c r="D75" s="5" t="s">
        <v>203</v>
      </c>
      <c r="E75" s="5" t="s">
        <v>209</v>
      </c>
      <c r="F75" s="5" t="s">
        <v>225</v>
      </c>
      <c r="G75" s="5" t="s">
        <v>296</v>
      </c>
      <c r="H75" s="5">
        <v>111</v>
      </c>
      <c r="I75" s="5">
        <v>16</v>
      </c>
      <c r="J75" s="5">
        <v>4</v>
      </c>
      <c r="K75" s="5" t="s">
        <v>382</v>
      </c>
    </row>
    <row r="76" spans="1:11">
      <c r="A76" s="5" t="s">
        <v>85</v>
      </c>
      <c r="B76" s="11">
        <v>46126</v>
      </c>
      <c r="C76" s="8">
        <v>0.4375</v>
      </c>
      <c r="D76" s="5" t="s">
        <v>207</v>
      </c>
      <c r="E76" s="5" t="s">
        <v>210</v>
      </c>
      <c r="F76" s="5" t="s">
        <v>218</v>
      </c>
      <c r="G76" s="5" t="s">
        <v>297</v>
      </c>
      <c r="H76" s="5">
        <v>180</v>
      </c>
      <c r="I76" s="5">
        <v>27</v>
      </c>
      <c r="J76" s="5">
        <v>3</v>
      </c>
      <c r="K76" s="5" t="s">
        <v>383</v>
      </c>
    </row>
    <row r="77" spans="1:11">
      <c r="A77" s="5" t="s">
        <v>86</v>
      </c>
      <c r="B77" s="11">
        <v>46127</v>
      </c>
      <c r="C77" s="8">
        <v>0.52083333333333337</v>
      </c>
      <c r="D77" s="5" t="s">
        <v>204</v>
      </c>
      <c r="E77" s="5" t="s">
        <v>211</v>
      </c>
      <c r="F77" s="5" t="s">
        <v>214</v>
      </c>
      <c r="G77" s="5" t="s">
        <v>298</v>
      </c>
      <c r="H77" s="5">
        <v>224</v>
      </c>
      <c r="I77" s="5">
        <v>18</v>
      </c>
      <c r="J77" s="5">
        <v>2</v>
      </c>
      <c r="K77" s="5" t="s">
        <v>382</v>
      </c>
    </row>
    <row r="78" spans="1:11">
      <c r="A78" s="5" t="s">
        <v>87</v>
      </c>
      <c r="B78" s="11">
        <v>46128</v>
      </c>
      <c r="C78" s="8">
        <v>0.47916666666666669</v>
      </c>
      <c r="D78" s="5" t="s">
        <v>206</v>
      </c>
      <c r="E78" s="5" t="s">
        <v>212</v>
      </c>
      <c r="F78" s="5" t="s">
        <v>219</v>
      </c>
      <c r="G78" s="5" t="s">
        <v>299</v>
      </c>
      <c r="H78" s="5">
        <v>152</v>
      </c>
      <c r="I78" s="5">
        <v>26</v>
      </c>
      <c r="J78" s="5">
        <v>4</v>
      </c>
      <c r="K78" s="5" t="s">
        <v>383</v>
      </c>
    </row>
    <row r="79" spans="1:11">
      <c r="A79" s="5" t="s">
        <v>88</v>
      </c>
      <c r="B79" s="11">
        <v>46129</v>
      </c>
      <c r="C79" s="8">
        <v>0.52777777777777779</v>
      </c>
      <c r="D79" s="5" t="s">
        <v>203</v>
      </c>
      <c r="E79" s="5" t="s">
        <v>210</v>
      </c>
      <c r="F79" s="5" t="s">
        <v>220</v>
      </c>
      <c r="G79" s="5" t="s">
        <v>300</v>
      </c>
      <c r="H79" s="5">
        <v>204</v>
      </c>
      <c r="I79" s="5">
        <v>19</v>
      </c>
      <c r="J79" s="5">
        <v>2</v>
      </c>
      <c r="K79" s="5" t="s">
        <v>384</v>
      </c>
    </row>
    <row r="80" spans="1:11">
      <c r="A80" s="5" t="s">
        <v>89</v>
      </c>
      <c r="B80" s="11">
        <v>46130</v>
      </c>
      <c r="C80" s="8">
        <v>0.5625</v>
      </c>
      <c r="D80" s="5" t="s">
        <v>207</v>
      </c>
      <c r="E80" s="5" t="s">
        <v>211</v>
      </c>
      <c r="F80" s="5" t="s">
        <v>221</v>
      </c>
      <c r="G80" s="5" t="s">
        <v>301</v>
      </c>
      <c r="H80" s="5">
        <v>207</v>
      </c>
      <c r="I80" s="5">
        <v>18</v>
      </c>
      <c r="J80" s="5">
        <v>5</v>
      </c>
      <c r="K80" s="5" t="s">
        <v>384</v>
      </c>
    </row>
    <row r="81" spans="1:11">
      <c r="A81" s="5" t="s">
        <v>90</v>
      </c>
      <c r="B81" s="11">
        <v>46131</v>
      </c>
      <c r="C81" s="8">
        <v>0.6875</v>
      </c>
      <c r="D81" s="5" t="s">
        <v>204</v>
      </c>
      <c r="E81" s="5" t="s">
        <v>212</v>
      </c>
      <c r="F81" s="5" t="s">
        <v>222</v>
      </c>
      <c r="G81" s="5" t="s">
        <v>302</v>
      </c>
      <c r="H81" s="5">
        <v>176</v>
      </c>
      <c r="I81" s="5">
        <v>27</v>
      </c>
      <c r="J81" s="5">
        <v>2</v>
      </c>
      <c r="K81" s="5" t="s">
        <v>383</v>
      </c>
    </row>
    <row r="82" spans="1:11">
      <c r="A82" s="5" t="s">
        <v>91</v>
      </c>
      <c r="B82" s="11">
        <v>46132</v>
      </c>
      <c r="C82" s="8">
        <v>0.3888888888888889</v>
      </c>
      <c r="D82" s="5" t="s">
        <v>205</v>
      </c>
      <c r="E82" s="5" t="s">
        <v>213</v>
      </c>
      <c r="F82" s="5" t="s">
        <v>223</v>
      </c>
      <c r="G82" s="5" t="s">
        <v>303</v>
      </c>
      <c r="H82" s="5">
        <v>170</v>
      </c>
      <c r="I82" s="5">
        <v>37</v>
      </c>
      <c r="J82" s="5">
        <v>4</v>
      </c>
      <c r="K82" s="5" t="s">
        <v>382</v>
      </c>
    </row>
    <row r="83" spans="1:11">
      <c r="A83" s="5" t="s">
        <v>92</v>
      </c>
      <c r="B83" s="12" t="s">
        <v>191</v>
      </c>
      <c r="C83" s="8">
        <v>0.43055555555555558</v>
      </c>
      <c r="D83" s="5" t="s">
        <v>206</v>
      </c>
      <c r="E83" s="5" t="s">
        <v>212</v>
      </c>
      <c r="F83" s="5" t="s">
        <v>224</v>
      </c>
      <c r="G83" s="5" t="s">
        <v>304</v>
      </c>
      <c r="H83" s="5">
        <v>168</v>
      </c>
      <c r="I83" s="5">
        <v>18</v>
      </c>
      <c r="J83" s="5">
        <v>3</v>
      </c>
      <c r="K83" s="5" t="s">
        <v>383</v>
      </c>
    </row>
    <row r="84" spans="1:11">
      <c r="A84" s="5" t="s">
        <v>93</v>
      </c>
      <c r="B84" s="11">
        <v>46134</v>
      </c>
      <c r="C84" s="8">
        <v>0.56944444444444442</v>
      </c>
      <c r="D84" s="5" t="s">
        <v>203</v>
      </c>
      <c r="E84" s="5" t="s">
        <v>213</v>
      </c>
      <c r="F84" s="5" t="s">
        <v>225</v>
      </c>
      <c r="G84" s="5" t="s">
        <v>305</v>
      </c>
      <c r="H84" s="5">
        <v>259</v>
      </c>
      <c r="I84" s="5">
        <v>26</v>
      </c>
      <c r="J84" s="5">
        <v>4</v>
      </c>
      <c r="K84" s="5" t="s">
        <v>384</v>
      </c>
    </row>
    <row r="85" spans="1:11">
      <c r="A85" s="5" t="s">
        <v>94</v>
      </c>
      <c r="B85" s="11">
        <v>46135</v>
      </c>
      <c r="C85" s="8">
        <v>0.52083333333333337</v>
      </c>
      <c r="D85" s="5" t="s">
        <v>203</v>
      </c>
      <c r="E85" s="5" t="s">
        <v>209</v>
      </c>
      <c r="F85" s="5" t="s">
        <v>214</v>
      </c>
      <c r="G85" s="5" t="s">
        <v>306</v>
      </c>
      <c r="H85" s="5">
        <v>194</v>
      </c>
      <c r="I85" s="5">
        <v>28</v>
      </c>
      <c r="J85" s="5">
        <v>2</v>
      </c>
      <c r="K85" s="5" t="s">
        <v>382</v>
      </c>
    </row>
    <row r="86" spans="1:11">
      <c r="A86" s="5" t="s">
        <v>95</v>
      </c>
      <c r="B86" s="11">
        <v>46136</v>
      </c>
      <c r="C86" s="8">
        <v>0.60416666666666663</v>
      </c>
      <c r="D86" s="5" t="s">
        <v>207</v>
      </c>
      <c r="E86" s="5" t="s">
        <v>210</v>
      </c>
      <c r="F86" s="5" t="s">
        <v>219</v>
      </c>
      <c r="G86" s="5" t="s">
        <v>307</v>
      </c>
      <c r="H86" s="5">
        <v>126</v>
      </c>
      <c r="I86" s="5">
        <v>16</v>
      </c>
      <c r="J86" s="5">
        <v>4</v>
      </c>
      <c r="K86" s="5" t="s">
        <v>382</v>
      </c>
    </row>
    <row r="87" spans="1:11">
      <c r="A87" s="5" t="s">
        <v>96</v>
      </c>
      <c r="B87" s="12" t="s">
        <v>192</v>
      </c>
      <c r="C87" s="8">
        <v>0.47916666666666669</v>
      </c>
      <c r="D87" s="5" t="s">
        <v>204</v>
      </c>
      <c r="E87" s="5" t="s">
        <v>211</v>
      </c>
      <c r="F87" s="5" t="s">
        <v>220</v>
      </c>
      <c r="G87" s="5" t="s">
        <v>308</v>
      </c>
      <c r="H87" s="5">
        <v>238</v>
      </c>
      <c r="I87" s="5">
        <v>18</v>
      </c>
      <c r="J87" s="5">
        <v>3</v>
      </c>
      <c r="K87" s="5" t="s">
        <v>382</v>
      </c>
    </row>
    <row r="88" spans="1:11">
      <c r="A88" s="5" t="s">
        <v>97</v>
      </c>
      <c r="B88" s="11">
        <v>46138</v>
      </c>
      <c r="C88" s="8">
        <v>0.53125</v>
      </c>
      <c r="D88" s="5" t="s">
        <v>207</v>
      </c>
      <c r="E88" s="5" t="s">
        <v>212</v>
      </c>
      <c r="F88" s="5" t="s">
        <v>221</v>
      </c>
      <c r="G88" s="5" t="s">
        <v>309</v>
      </c>
      <c r="H88" s="5">
        <v>186</v>
      </c>
      <c r="I88" s="5">
        <v>18</v>
      </c>
      <c r="J88" s="5">
        <v>2</v>
      </c>
      <c r="K88" s="5" t="s">
        <v>382</v>
      </c>
    </row>
    <row r="89" spans="1:11">
      <c r="A89" s="5" t="s">
        <v>98</v>
      </c>
      <c r="B89" s="12" t="s">
        <v>193</v>
      </c>
      <c r="C89" s="8">
        <v>0.35416666666666669</v>
      </c>
      <c r="D89" s="5" t="s">
        <v>204</v>
      </c>
      <c r="E89" s="5" t="s">
        <v>210</v>
      </c>
      <c r="F89" s="5" t="s">
        <v>222</v>
      </c>
      <c r="G89" s="5" t="s">
        <v>310</v>
      </c>
      <c r="H89" s="5">
        <v>171</v>
      </c>
      <c r="I89" s="5">
        <v>27</v>
      </c>
      <c r="J89" s="5">
        <v>1</v>
      </c>
      <c r="K89" s="5" t="s">
        <v>382</v>
      </c>
    </row>
    <row r="90" spans="1:11">
      <c r="A90" s="5" t="s">
        <v>99</v>
      </c>
      <c r="B90" s="11">
        <v>46140</v>
      </c>
      <c r="C90" s="8">
        <v>0.40625</v>
      </c>
      <c r="D90" s="5" t="s">
        <v>205</v>
      </c>
      <c r="E90" s="5" t="s">
        <v>211</v>
      </c>
      <c r="F90" s="5" t="s">
        <v>223</v>
      </c>
      <c r="G90" s="5" t="s">
        <v>311</v>
      </c>
      <c r="H90" s="5">
        <v>223</v>
      </c>
      <c r="I90" s="5">
        <v>39</v>
      </c>
      <c r="J90" s="5">
        <v>4</v>
      </c>
      <c r="K90" s="5" t="s">
        <v>383</v>
      </c>
    </row>
    <row r="91" spans="1:11">
      <c r="A91" s="5" t="s">
        <v>100</v>
      </c>
      <c r="B91" s="11">
        <v>46141</v>
      </c>
      <c r="C91" s="8">
        <v>0.4375</v>
      </c>
      <c r="D91" s="5" t="s">
        <v>206</v>
      </c>
      <c r="E91" s="5" t="s">
        <v>212</v>
      </c>
      <c r="F91" s="5" t="s">
        <v>224</v>
      </c>
      <c r="G91" s="5" t="s">
        <v>312</v>
      </c>
      <c r="H91" s="5">
        <v>101</v>
      </c>
      <c r="I91" s="5">
        <v>27</v>
      </c>
      <c r="J91" s="5">
        <v>3</v>
      </c>
      <c r="K91" s="5" t="s">
        <v>384</v>
      </c>
    </row>
    <row r="92" spans="1:11">
      <c r="A92" s="5" t="s">
        <v>101</v>
      </c>
      <c r="B92" s="12" t="s">
        <v>194</v>
      </c>
      <c r="C92" s="8">
        <v>0.36458333333333331</v>
      </c>
      <c r="D92" s="5" t="s">
        <v>203</v>
      </c>
      <c r="E92" s="5" t="s">
        <v>213</v>
      </c>
      <c r="F92" s="5" t="s">
        <v>225</v>
      </c>
      <c r="G92" s="5" t="s">
        <v>313</v>
      </c>
      <c r="H92" s="5">
        <v>282</v>
      </c>
      <c r="I92" s="5">
        <v>22</v>
      </c>
      <c r="J92" s="5">
        <v>3</v>
      </c>
      <c r="K92" s="5" t="s">
        <v>384</v>
      </c>
    </row>
    <row r="93" spans="1:11">
      <c r="A93" s="5" t="s">
        <v>102</v>
      </c>
      <c r="B93" s="11">
        <v>46143</v>
      </c>
      <c r="C93" s="8">
        <v>0.36805555555555558</v>
      </c>
      <c r="D93" s="5" t="s">
        <v>203</v>
      </c>
      <c r="E93" s="5" t="s">
        <v>209</v>
      </c>
      <c r="F93" s="5" t="s">
        <v>215</v>
      </c>
      <c r="G93" s="5" t="s">
        <v>314</v>
      </c>
      <c r="H93" s="5">
        <v>298</v>
      </c>
      <c r="I93" s="5">
        <v>12</v>
      </c>
      <c r="J93" s="5">
        <v>4</v>
      </c>
      <c r="K93" s="5" t="s">
        <v>383</v>
      </c>
    </row>
    <row r="94" spans="1:11">
      <c r="A94" s="5" t="s">
        <v>103</v>
      </c>
      <c r="B94" s="12" t="s">
        <v>195</v>
      </c>
      <c r="C94" s="8">
        <v>0.39583333333333331</v>
      </c>
      <c r="D94" s="5" t="s">
        <v>207</v>
      </c>
      <c r="E94" s="5" t="s">
        <v>210</v>
      </c>
      <c r="F94" s="5" t="s">
        <v>216</v>
      </c>
      <c r="G94" s="5" t="s">
        <v>315</v>
      </c>
      <c r="H94" s="5">
        <v>161</v>
      </c>
      <c r="I94" s="5">
        <v>18</v>
      </c>
      <c r="J94" s="5">
        <v>4</v>
      </c>
      <c r="K94" s="5" t="s">
        <v>384</v>
      </c>
    </row>
    <row r="95" spans="1:11">
      <c r="A95" s="5" t="s">
        <v>104</v>
      </c>
      <c r="B95" s="11">
        <v>46145</v>
      </c>
      <c r="C95" s="8">
        <v>0.4375</v>
      </c>
      <c r="D95" s="5" t="s">
        <v>204</v>
      </c>
      <c r="E95" s="5" t="s">
        <v>211</v>
      </c>
      <c r="F95" s="5" t="s">
        <v>217</v>
      </c>
      <c r="G95" s="5" t="s">
        <v>316</v>
      </c>
      <c r="H95" s="5">
        <v>286</v>
      </c>
      <c r="I95" s="5">
        <v>27</v>
      </c>
      <c r="J95" s="5">
        <v>2</v>
      </c>
      <c r="K95" s="5" t="s">
        <v>382</v>
      </c>
    </row>
    <row r="96" spans="1:11">
      <c r="A96" s="5" t="s">
        <v>105</v>
      </c>
      <c r="B96" s="12" t="s">
        <v>196</v>
      </c>
      <c r="C96" s="8">
        <v>0.48958333333333331</v>
      </c>
      <c r="D96" s="5" t="s">
        <v>203</v>
      </c>
      <c r="E96" s="5" t="s">
        <v>212</v>
      </c>
      <c r="F96" s="5" t="s">
        <v>218</v>
      </c>
      <c r="G96" s="5" t="s">
        <v>317</v>
      </c>
      <c r="H96" s="5">
        <v>223</v>
      </c>
      <c r="I96" s="5">
        <v>18</v>
      </c>
      <c r="J96" s="5">
        <v>4</v>
      </c>
      <c r="K96" s="5" t="s">
        <v>383</v>
      </c>
    </row>
    <row r="97" spans="1:11">
      <c r="A97" s="5" t="s">
        <v>106</v>
      </c>
      <c r="B97" s="11">
        <v>46147</v>
      </c>
      <c r="C97" s="8">
        <v>0.35416666666666669</v>
      </c>
      <c r="D97" s="5" t="s">
        <v>207</v>
      </c>
      <c r="E97" s="5" t="s">
        <v>213</v>
      </c>
      <c r="F97" s="5" t="s">
        <v>214</v>
      </c>
      <c r="G97" s="5" t="s">
        <v>318</v>
      </c>
      <c r="H97" s="5">
        <v>224</v>
      </c>
      <c r="I97" s="5">
        <v>26</v>
      </c>
      <c r="J97" s="5">
        <v>4</v>
      </c>
      <c r="K97" s="5" t="s">
        <v>384</v>
      </c>
    </row>
    <row r="98" spans="1:11">
      <c r="A98" s="5" t="s">
        <v>107</v>
      </c>
      <c r="B98" s="11">
        <v>46148</v>
      </c>
      <c r="C98" s="8">
        <v>0.40625</v>
      </c>
      <c r="D98" s="5" t="s">
        <v>204</v>
      </c>
      <c r="E98" s="5" t="s">
        <v>212</v>
      </c>
      <c r="F98" s="5" t="s">
        <v>219</v>
      </c>
      <c r="G98" s="5" t="s">
        <v>319</v>
      </c>
      <c r="H98" s="5">
        <v>112</v>
      </c>
      <c r="I98" s="5">
        <v>19</v>
      </c>
      <c r="J98" s="5">
        <v>4</v>
      </c>
      <c r="K98" s="5" t="s">
        <v>382</v>
      </c>
    </row>
    <row r="99" spans="1:11">
      <c r="A99" s="5" t="s">
        <v>108</v>
      </c>
      <c r="B99" s="12" t="s">
        <v>197</v>
      </c>
      <c r="C99" s="8">
        <v>0.41875000000000001</v>
      </c>
      <c r="D99" s="5" t="s">
        <v>205</v>
      </c>
      <c r="E99" s="5" t="s">
        <v>213</v>
      </c>
      <c r="F99" s="5" t="s">
        <v>220</v>
      </c>
      <c r="G99" s="5" t="s">
        <v>320</v>
      </c>
      <c r="H99" s="5">
        <v>180</v>
      </c>
      <c r="I99" s="5">
        <v>18</v>
      </c>
      <c r="J99" s="5">
        <v>4</v>
      </c>
      <c r="K99" s="5" t="s">
        <v>383</v>
      </c>
    </row>
    <row r="100" spans="1:11">
      <c r="A100" s="5" t="s">
        <v>109</v>
      </c>
      <c r="B100" s="11">
        <v>46150</v>
      </c>
      <c r="C100" s="8">
        <v>0.45833333333333331</v>
      </c>
      <c r="D100" s="5" t="s">
        <v>206</v>
      </c>
      <c r="E100" s="5" t="s">
        <v>209</v>
      </c>
      <c r="F100" s="5" t="s">
        <v>221</v>
      </c>
      <c r="G100" s="5" t="s">
        <v>321</v>
      </c>
      <c r="H100" s="5">
        <v>184</v>
      </c>
      <c r="I100" s="5">
        <v>27</v>
      </c>
      <c r="J100" s="5">
        <v>3</v>
      </c>
      <c r="K100" s="5" t="s">
        <v>384</v>
      </c>
    </row>
    <row r="101" spans="1:11">
      <c r="A101" s="5" t="s">
        <v>110</v>
      </c>
      <c r="B101" s="11">
        <v>46151</v>
      </c>
      <c r="C101" s="8">
        <v>0.51388888888888884</v>
      </c>
      <c r="D101" s="5" t="s">
        <v>208</v>
      </c>
      <c r="E101" s="5" t="s">
        <v>210</v>
      </c>
      <c r="F101" s="5" t="s">
        <v>222</v>
      </c>
      <c r="G101" s="5" t="s">
        <v>322</v>
      </c>
      <c r="H101" s="5">
        <v>256</v>
      </c>
      <c r="I101" s="5">
        <v>37</v>
      </c>
      <c r="J101" s="5">
        <v>5</v>
      </c>
      <c r="K101" s="5" t="s">
        <v>382</v>
      </c>
    </row>
    <row r="102" spans="1:11">
      <c r="A102" s="5" t="s">
        <v>111</v>
      </c>
      <c r="B102" s="11">
        <v>46152</v>
      </c>
      <c r="C102" s="8">
        <v>0.35416666666666669</v>
      </c>
      <c r="D102" s="5" t="s">
        <v>203</v>
      </c>
      <c r="E102" s="5" t="s">
        <v>211</v>
      </c>
      <c r="F102" s="5" t="s">
        <v>223</v>
      </c>
      <c r="G102" s="5" t="s">
        <v>323</v>
      </c>
      <c r="H102" s="5">
        <v>110</v>
      </c>
      <c r="I102" s="5">
        <v>18</v>
      </c>
      <c r="J102" s="5">
        <v>3</v>
      </c>
      <c r="K102" s="5" t="s">
        <v>383</v>
      </c>
    </row>
    <row r="103" spans="1:11">
      <c r="A103" s="5" t="s">
        <v>112</v>
      </c>
      <c r="B103" s="12" t="s">
        <v>198</v>
      </c>
      <c r="C103" s="8">
        <v>0.55555555555555558</v>
      </c>
      <c r="D103" s="5" t="s">
        <v>207</v>
      </c>
      <c r="E103" s="5" t="s">
        <v>212</v>
      </c>
      <c r="F103" s="5" t="s">
        <v>224</v>
      </c>
      <c r="G103" s="5" t="s">
        <v>324</v>
      </c>
      <c r="H103" s="5">
        <v>259</v>
      </c>
      <c r="I103" s="5">
        <v>26</v>
      </c>
      <c r="J103" s="5">
        <v>2</v>
      </c>
      <c r="K103" s="5" t="s">
        <v>384</v>
      </c>
    </row>
    <row r="104" spans="1:11">
      <c r="A104" s="5" t="s">
        <v>113</v>
      </c>
      <c r="B104" s="11">
        <v>46154</v>
      </c>
      <c r="C104" s="8">
        <v>0.47222222222222221</v>
      </c>
      <c r="D104" s="5" t="s">
        <v>204</v>
      </c>
      <c r="E104" s="5" t="s">
        <v>213</v>
      </c>
      <c r="F104" s="5" t="s">
        <v>225</v>
      </c>
      <c r="G104" s="5" t="s">
        <v>325</v>
      </c>
      <c r="H104" s="5">
        <v>172</v>
      </c>
      <c r="I104" s="5">
        <v>28</v>
      </c>
      <c r="J104" s="5">
        <v>5</v>
      </c>
      <c r="K104" s="5" t="s">
        <v>382</v>
      </c>
    </row>
    <row r="105" spans="1:11">
      <c r="A105" s="5" t="s">
        <v>114</v>
      </c>
      <c r="B105" s="11">
        <v>46155</v>
      </c>
      <c r="C105" s="8">
        <v>0.60416666666666663</v>
      </c>
      <c r="D105" s="5" t="s">
        <v>204</v>
      </c>
      <c r="E105" s="5" t="s">
        <v>209</v>
      </c>
      <c r="F105" s="5" t="s">
        <v>222</v>
      </c>
      <c r="G105" s="5" t="s">
        <v>317</v>
      </c>
      <c r="H105" s="5">
        <v>276</v>
      </c>
      <c r="I105" s="5">
        <v>16</v>
      </c>
      <c r="J105" s="5">
        <v>2</v>
      </c>
      <c r="K105" s="5" t="s">
        <v>382</v>
      </c>
    </row>
    <row r="106" spans="1:11">
      <c r="A106" s="5" t="s">
        <v>115</v>
      </c>
      <c r="B106" s="11">
        <v>46156</v>
      </c>
      <c r="C106" s="8">
        <v>0.52083333333333337</v>
      </c>
      <c r="D106" s="5" t="s">
        <v>205</v>
      </c>
      <c r="E106" s="5" t="s">
        <v>210</v>
      </c>
      <c r="F106" s="5" t="s">
        <v>223</v>
      </c>
      <c r="G106" s="5" t="s">
        <v>326</v>
      </c>
      <c r="H106" s="5">
        <v>133</v>
      </c>
      <c r="I106" s="5">
        <v>18</v>
      </c>
      <c r="J106" s="5">
        <v>3</v>
      </c>
      <c r="K106" s="5" t="s">
        <v>382</v>
      </c>
    </row>
    <row r="107" spans="1:11">
      <c r="A107" s="5" t="s">
        <v>116</v>
      </c>
      <c r="B107" s="11">
        <v>46157</v>
      </c>
      <c r="C107" s="8">
        <v>0.47916666666666669</v>
      </c>
      <c r="D107" s="5" t="s">
        <v>206</v>
      </c>
      <c r="E107" s="5" t="s">
        <v>211</v>
      </c>
      <c r="F107" s="5" t="s">
        <v>224</v>
      </c>
      <c r="G107" s="5" t="s">
        <v>327</v>
      </c>
      <c r="H107" s="5">
        <v>278</v>
      </c>
      <c r="I107" s="5">
        <v>18</v>
      </c>
      <c r="J107" s="5">
        <v>4</v>
      </c>
      <c r="K107" s="5" t="s">
        <v>383</v>
      </c>
    </row>
    <row r="108" spans="1:11">
      <c r="A108" s="5" t="s">
        <v>117</v>
      </c>
      <c r="B108" s="11">
        <v>46158</v>
      </c>
      <c r="C108" s="8">
        <v>0.52777777777777779</v>
      </c>
      <c r="D108" s="5" t="s">
        <v>203</v>
      </c>
      <c r="E108" s="5" t="s">
        <v>212</v>
      </c>
      <c r="F108" s="5" t="s">
        <v>225</v>
      </c>
      <c r="G108" s="5" t="s">
        <v>328</v>
      </c>
      <c r="H108" s="5">
        <v>160</v>
      </c>
      <c r="I108" s="5">
        <v>27</v>
      </c>
      <c r="J108" s="5">
        <v>2</v>
      </c>
      <c r="K108" s="5" t="s">
        <v>384</v>
      </c>
    </row>
    <row r="109" spans="1:11">
      <c r="A109" s="5" t="s">
        <v>118</v>
      </c>
      <c r="B109" s="11">
        <v>46159</v>
      </c>
      <c r="C109" s="8">
        <v>0.5625</v>
      </c>
      <c r="D109" s="5" t="s">
        <v>203</v>
      </c>
      <c r="E109" s="5" t="s">
        <v>213</v>
      </c>
      <c r="F109" s="5" t="s">
        <v>214</v>
      </c>
      <c r="G109" s="5" t="s">
        <v>329</v>
      </c>
      <c r="H109" s="5">
        <v>221</v>
      </c>
      <c r="I109" s="5">
        <v>39</v>
      </c>
      <c r="J109" s="5">
        <v>1</v>
      </c>
      <c r="K109" s="5" t="s">
        <v>382</v>
      </c>
    </row>
    <row r="110" spans="1:11">
      <c r="A110" s="5" t="s">
        <v>119</v>
      </c>
      <c r="B110" s="11">
        <v>46160</v>
      </c>
      <c r="C110" s="8">
        <v>0.6875</v>
      </c>
      <c r="D110" s="5" t="s">
        <v>207</v>
      </c>
      <c r="E110" s="5" t="s">
        <v>209</v>
      </c>
      <c r="F110" s="5" t="s">
        <v>215</v>
      </c>
      <c r="G110" s="5" t="s">
        <v>330</v>
      </c>
      <c r="H110" s="5">
        <v>135</v>
      </c>
      <c r="I110" s="5">
        <v>27</v>
      </c>
      <c r="J110" s="5">
        <v>4</v>
      </c>
      <c r="K110" s="5" t="s">
        <v>382</v>
      </c>
    </row>
    <row r="111" spans="1:11">
      <c r="A111" s="5" t="s">
        <v>120</v>
      </c>
      <c r="B111" s="11">
        <v>46161</v>
      </c>
      <c r="C111" s="8">
        <v>0.3888888888888889</v>
      </c>
      <c r="D111" s="5" t="s">
        <v>203</v>
      </c>
      <c r="E111" s="5" t="s">
        <v>210</v>
      </c>
      <c r="F111" s="5" t="s">
        <v>216</v>
      </c>
      <c r="G111" s="5" t="s">
        <v>331</v>
      </c>
      <c r="H111" s="5">
        <v>110</v>
      </c>
      <c r="I111" s="5">
        <v>27</v>
      </c>
      <c r="J111" s="5">
        <v>1</v>
      </c>
      <c r="K111" s="5" t="s">
        <v>383</v>
      </c>
    </row>
    <row r="112" spans="1:11">
      <c r="A112" s="5" t="s">
        <v>121</v>
      </c>
      <c r="B112" s="11">
        <v>46162</v>
      </c>
      <c r="C112" s="8">
        <v>0.43055555555555558</v>
      </c>
      <c r="D112" s="5" t="s">
        <v>207</v>
      </c>
      <c r="E112" s="5" t="s">
        <v>211</v>
      </c>
      <c r="F112" s="5" t="s">
        <v>217</v>
      </c>
      <c r="G112" s="5" t="s">
        <v>332</v>
      </c>
      <c r="H112" s="5">
        <v>125</v>
      </c>
      <c r="I112" s="5">
        <v>18</v>
      </c>
      <c r="J112" s="5">
        <v>5</v>
      </c>
      <c r="K112" s="5" t="s">
        <v>382</v>
      </c>
    </row>
    <row r="113" spans="1:11">
      <c r="A113" s="5" t="s">
        <v>122</v>
      </c>
      <c r="B113" s="11">
        <v>46163</v>
      </c>
      <c r="C113" s="8">
        <v>0.52083333333333337</v>
      </c>
      <c r="D113" s="5" t="s">
        <v>204</v>
      </c>
      <c r="E113" s="5" t="s">
        <v>212</v>
      </c>
      <c r="F113" s="5" t="s">
        <v>218</v>
      </c>
      <c r="G113" s="5" t="s">
        <v>333</v>
      </c>
      <c r="H113" s="5">
        <v>178</v>
      </c>
      <c r="I113" s="5">
        <v>26</v>
      </c>
      <c r="J113" s="5">
        <v>3</v>
      </c>
      <c r="K113" s="5" t="s">
        <v>383</v>
      </c>
    </row>
    <row r="114" spans="1:11">
      <c r="A114" s="5" t="s">
        <v>123</v>
      </c>
      <c r="B114" s="11">
        <v>46164</v>
      </c>
      <c r="C114" s="8">
        <v>0.60416666666666663</v>
      </c>
      <c r="D114" s="5" t="s">
        <v>205</v>
      </c>
      <c r="E114" s="5" t="s">
        <v>213</v>
      </c>
      <c r="F114" s="5" t="s">
        <v>214</v>
      </c>
      <c r="G114" s="5" t="s">
        <v>334</v>
      </c>
      <c r="H114" s="5">
        <v>106</v>
      </c>
      <c r="I114" s="5">
        <v>19</v>
      </c>
      <c r="J114" s="5">
        <v>2</v>
      </c>
      <c r="K114" s="5" t="s">
        <v>384</v>
      </c>
    </row>
    <row r="115" spans="1:11">
      <c r="A115" s="5" t="s">
        <v>124</v>
      </c>
      <c r="B115" s="11">
        <v>46165</v>
      </c>
      <c r="C115" s="8">
        <v>0.47916666666666669</v>
      </c>
      <c r="D115" s="5" t="s">
        <v>206</v>
      </c>
      <c r="E115" s="5" t="s">
        <v>212</v>
      </c>
      <c r="F115" s="5" t="s">
        <v>217</v>
      </c>
      <c r="G115" s="5" t="s">
        <v>335</v>
      </c>
      <c r="H115" s="5">
        <v>144</v>
      </c>
      <c r="I115" s="5">
        <v>18</v>
      </c>
      <c r="J115" s="5">
        <v>4</v>
      </c>
      <c r="K115" s="5" t="s">
        <v>382</v>
      </c>
    </row>
    <row r="116" spans="1:11">
      <c r="A116" s="5" t="s">
        <v>125</v>
      </c>
      <c r="B116" s="11">
        <v>46166</v>
      </c>
      <c r="C116" s="8">
        <v>0.53125</v>
      </c>
      <c r="D116" s="5" t="s">
        <v>203</v>
      </c>
      <c r="E116" s="5" t="s">
        <v>213</v>
      </c>
      <c r="F116" s="5" t="s">
        <v>218</v>
      </c>
      <c r="G116" s="5" t="s">
        <v>336</v>
      </c>
      <c r="H116" s="5">
        <v>184</v>
      </c>
      <c r="I116" s="5">
        <v>27</v>
      </c>
      <c r="J116" s="5">
        <v>5</v>
      </c>
      <c r="K116" s="5" t="s">
        <v>382</v>
      </c>
    </row>
    <row r="117" spans="1:11">
      <c r="A117" s="5" t="s">
        <v>126</v>
      </c>
      <c r="B117" s="11">
        <v>46167</v>
      </c>
      <c r="C117" s="8">
        <v>0.35416666666666669</v>
      </c>
      <c r="D117" s="5" t="s">
        <v>203</v>
      </c>
      <c r="E117" s="5" t="s">
        <v>209</v>
      </c>
      <c r="F117" s="5" t="s">
        <v>214</v>
      </c>
      <c r="G117" s="5" t="s">
        <v>337</v>
      </c>
      <c r="H117" s="5">
        <v>268</v>
      </c>
      <c r="I117" s="5">
        <v>37</v>
      </c>
      <c r="J117" s="5">
        <v>4</v>
      </c>
      <c r="K117" s="5" t="s">
        <v>382</v>
      </c>
    </row>
    <row r="118" spans="1:11">
      <c r="A118" s="5" t="s">
        <v>127</v>
      </c>
      <c r="B118" s="11">
        <v>46168</v>
      </c>
      <c r="C118" s="8">
        <v>0.40625</v>
      </c>
      <c r="D118" s="5" t="s">
        <v>207</v>
      </c>
      <c r="E118" s="5" t="s">
        <v>210</v>
      </c>
      <c r="F118" s="5" t="s">
        <v>215</v>
      </c>
      <c r="G118" s="5" t="s">
        <v>338</v>
      </c>
      <c r="H118" s="5">
        <v>244</v>
      </c>
      <c r="I118" s="5">
        <v>18</v>
      </c>
      <c r="J118" s="5">
        <v>3</v>
      </c>
      <c r="K118" s="5" t="s">
        <v>382</v>
      </c>
    </row>
    <row r="119" spans="1:11">
      <c r="A119" s="5" t="s">
        <v>128</v>
      </c>
      <c r="B119" s="11">
        <v>46169</v>
      </c>
      <c r="C119" s="8">
        <v>0.4375</v>
      </c>
      <c r="D119" s="5" t="s">
        <v>204</v>
      </c>
      <c r="E119" s="5" t="s">
        <v>211</v>
      </c>
      <c r="F119" s="5" t="s">
        <v>226</v>
      </c>
      <c r="G119" s="5" t="s">
        <v>339</v>
      </c>
      <c r="H119" s="5">
        <v>194</v>
      </c>
      <c r="I119" s="5">
        <v>26</v>
      </c>
      <c r="J119" s="5">
        <v>3</v>
      </c>
      <c r="K119" s="5" t="s">
        <v>383</v>
      </c>
    </row>
    <row r="120" spans="1:11">
      <c r="A120" s="5" t="s">
        <v>129</v>
      </c>
      <c r="B120" s="11">
        <v>46170</v>
      </c>
      <c r="C120" s="8">
        <v>0.52083333333333337</v>
      </c>
      <c r="D120" s="5" t="s">
        <v>204</v>
      </c>
      <c r="E120" s="5" t="s">
        <v>212</v>
      </c>
      <c r="F120" s="5" t="s">
        <v>227</v>
      </c>
      <c r="G120" s="5" t="s">
        <v>340</v>
      </c>
      <c r="H120" s="5">
        <v>136</v>
      </c>
      <c r="I120" s="5">
        <v>28</v>
      </c>
      <c r="J120" s="5">
        <v>4</v>
      </c>
      <c r="K120" s="5" t="s">
        <v>384</v>
      </c>
    </row>
    <row r="121" spans="1:11">
      <c r="A121" s="5" t="s">
        <v>130</v>
      </c>
      <c r="B121" s="11">
        <v>46171</v>
      </c>
      <c r="C121" s="8">
        <v>0.47916666666666669</v>
      </c>
      <c r="D121" s="5" t="s">
        <v>205</v>
      </c>
      <c r="E121" s="5" t="s">
        <v>213</v>
      </c>
      <c r="F121" s="5" t="s">
        <v>218</v>
      </c>
      <c r="G121" s="5" t="s">
        <v>341</v>
      </c>
      <c r="H121" s="5">
        <v>241</v>
      </c>
      <c r="I121" s="5">
        <v>16</v>
      </c>
      <c r="J121" s="5">
        <v>3</v>
      </c>
      <c r="K121" s="5" t="s">
        <v>383</v>
      </c>
    </row>
    <row r="122" spans="1:11">
      <c r="A122" s="5" t="s">
        <v>131</v>
      </c>
      <c r="B122" s="11">
        <v>46172</v>
      </c>
      <c r="C122" s="8">
        <v>0.52777777777777779</v>
      </c>
      <c r="D122" s="5" t="s">
        <v>206</v>
      </c>
      <c r="E122" s="5" t="s">
        <v>211</v>
      </c>
      <c r="F122" s="5" t="s">
        <v>219</v>
      </c>
      <c r="G122" s="5" t="s">
        <v>342</v>
      </c>
      <c r="H122" s="5">
        <v>278</v>
      </c>
      <c r="I122" s="5">
        <v>18</v>
      </c>
      <c r="J122" s="5">
        <v>3</v>
      </c>
      <c r="K122" s="5" t="s">
        <v>382</v>
      </c>
    </row>
    <row r="123" spans="1:11">
      <c r="A123" s="5" t="s">
        <v>132</v>
      </c>
      <c r="B123" s="11">
        <v>46173</v>
      </c>
      <c r="C123" s="8">
        <v>0.5625</v>
      </c>
      <c r="D123" s="5" t="s">
        <v>203</v>
      </c>
      <c r="E123" s="5" t="s">
        <v>212</v>
      </c>
      <c r="F123" s="5" t="s">
        <v>220</v>
      </c>
      <c r="G123" s="5" t="s">
        <v>343</v>
      </c>
      <c r="H123" s="5">
        <v>130</v>
      </c>
      <c r="I123" s="5">
        <v>18</v>
      </c>
      <c r="J123" s="5">
        <v>4</v>
      </c>
      <c r="K123" s="5" t="s">
        <v>383</v>
      </c>
    </row>
    <row r="124" spans="1:11">
      <c r="A124" s="5" t="s">
        <v>133</v>
      </c>
      <c r="B124" s="11">
        <v>46174</v>
      </c>
      <c r="C124" s="8">
        <v>0.6875</v>
      </c>
      <c r="D124" s="5" t="s">
        <v>203</v>
      </c>
      <c r="E124" s="5" t="s">
        <v>213</v>
      </c>
      <c r="F124" s="5" t="s">
        <v>221</v>
      </c>
      <c r="G124" s="5" t="s">
        <v>344</v>
      </c>
      <c r="H124" s="5">
        <v>203</v>
      </c>
      <c r="I124" s="5">
        <v>27</v>
      </c>
      <c r="J124" s="5">
        <v>3</v>
      </c>
      <c r="K124" s="5" t="s">
        <v>382</v>
      </c>
    </row>
    <row r="125" spans="1:11">
      <c r="A125" s="5" t="s">
        <v>134</v>
      </c>
      <c r="B125" s="11">
        <v>46175</v>
      </c>
      <c r="C125" s="8">
        <v>0.3888888888888889</v>
      </c>
      <c r="D125" s="5" t="s">
        <v>207</v>
      </c>
      <c r="E125" s="5" t="s">
        <v>212</v>
      </c>
      <c r="F125" s="5" t="s">
        <v>222</v>
      </c>
      <c r="G125" s="5" t="s">
        <v>345</v>
      </c>
      <c r="H125" s="5">
        <v>214</v>
      </c>
      <c r="I125" s="5">
        <v>39</v>
      </c>
      <c r="J125" s="5">
        <v>2</v>
      </c>
      <c r="K125" s="5" t="s">
        <v>383</v>
      </c>
    </row>
    <row r="126" spans="1:11">
      <c r="A126" s="5" t="s">
        <v>135</v>
      </c>
      <c r="B126" s="11">
        <v>46176</v>
      </c>
      <c r="C126" s="8">
        <v>0.43055555555555558</v>
      </c>
      <c r="D126" s="5" t="s">
        <v>206</v>
      </c>
      <c r="E126" s="5" t="s">
        <v>213</v>
      </c>
      <c r="F126" s="5" t="s">
        <v>223</v>
      </c>
      <c r="G126" s="5" t="s">
        <v>346</v>
      </c>
      <c r="H126" s="5">
        <v>148</v>
      </c>
      <c r="I126" s="5">
        <v>27</v>
      </c>
      <c r="J126" s="5">
        <v>4</v>
      </c>
      <c r="K126" s="5" t="s">
        <v>384</v>
      </c>
    </row>
    <row r="127" spans="1:11">
      <c r="A127" s="5" t="s">
        <v>136</v>
      </c>
      <c r="B127" s="11">
        <v>46177</v>
      </c>
      <c r="C127" s="8">
        <v>0.56944444444444442</v>
      </c>
      <c r="D127" s="5" t="s">
        <v>203</v>
      </c>
      <c r="E127" s="5" t="s">
        <v>209</v>
      </c>
      <c r="F127" s="5" t="s">
        <v>224</v>
      </c>
      <c r="G127" s="5" t="s">
        <v>347</v>
      </c>
      <c r="H127" s="5">
        <v>288</v>
      </c>
      <c r="I127" s="5">
        <v>27</v>
      </c>
      <c r="J127" s="5">
        <v>5</v>
      </c>
      <c r="K127" s="5" t="s">
        <v>382</v>
      </c>
    </row>
    <row r="128" spans="1:11">
      <c r="A128" s="5" t="s">
        <v>137</v>
      </c>
      <c r="B128" s="11">
        <v>46178</v>
      </c>
      <c r="C128" s="8">
        <v>0.52083333333333337</v>
      </c>
      <c r="D128" s="5" t="s">
        <v>207</v>
      </c>
      <c r="E128" s="5" t="s">
        <v>210</v>
      </c>
      <c r="F128" s="5" t="s">
        <v>225</v>
      </c>
      <c r="G128" s="5" t="s">
        <v>348</v>
      </c>
      <c r="H128" s="5">
        <v>125</v>
      </c>
      <c r="I128" s="5">
        <v>18</v>
      </c>
      <c r="J128" s="5">
        <v>3</v>
      </c>
      <c r="K128" s="5" t="s">
        <v>383</v>
      </c>
    </row>
    <row r="129" spans="1:11">
      <c r="A129" s="5" t="s">
        <v>138</v>
      </c>
      <c r="B129" s="11">
        <v>46179</v>
      </c>
      <c r="C129" s="8">
        <v>0.60416666666666663</v>
      </c>
      <c r="D129" s="5" t="s">
        <v>204</v>
      </c>
      <c r="E129" s="5" t="s">
        <v>211</v>
      </c>
      <c r="F129" s="5" t="s">
        <v>219</v>
      </c>
      <c r="G129" s="5" t="s">
        <v>349</v>
      </c>
      <c r="H129" s="5">
        <v>292</v>
      </c>
      <c r="I129" s="5">
        <v>26</v>
      </c>
      <c r="J129" s="5">
        <v>3</v>
      </c>
      <c r="K129" s="5" t="s">
        <v>383</v>
      </c>
    </row>
    <row r="130" spans="1:11">
      <c r="A130" s="5" t="s">
        <v>139</v>
      </c>
      <c r="B130" s="11">
        <v>46180</v>
      </c>
      <c r="C130" s="8">
        <v>0.47916666666666669</v>
      </c>
      <c r="D130" s="5" t="s">
        <v>205</v>
      </c>
      <c r="E130" s="5" t="s">
        <v>209</v>
      </c>
      <c r="F130" s="5" t="s">
        <v>220</v>
      </c>
      <c r="G130" s="5" t="s">
        <v>350</v>
      </c>
      <c r="H130" s="5">
        <v>214</v>
      </c>
      <c r="I130" s="5">
        <v>19</v>
      </c>
      <c r="J130" s="5">
        <v>3</v>
      </c>
      <c r="K130" s="5" t="s">
        <v>382</v>
      </c>
    </row>
    <row r="131" spans="1:11">
      <c r="A131" s="5" t="s">
        <v>140</v>
      </c>
      <c r="B131" s="11">
        <v>46181</v>
      </c>
      <c r="C131" s="8">
        <v>0.53125</v>
      </c>
      <c r="D131" s="5" t="s">
        <v>206</v>
      </c>
      <c r="E131" s="5" t="s">
        <v>211</v>
      </c>
      <c r="F131" s="5" t="s">
        <v>221</v>
      </c>
      <c r="G131" s="5" t="s">
        <v>351</v>
      </c>
      <c r="H131" s="5">
        <v>260</v>
      </c>
      <c r="I131" s="5">
        <v>18</v>
      </c>
      <c r="J131" s="5">
        <v>4</v>
      </c>
      <c r="K131" s="5" t="s">
        <v>383</v>
      </c>
    </row>
    <row r="132" spans="1:11">
      <c r="A132" s="5" t="s">
        <v>141</v>
      </c>
      <c r="B132" s="11">
        <v>46182</v>
      </c>
      <c r="C132" s="8">
        <v>0.35416666666666669</v>
      </c>
      <c r="D132" s="5" t="s">
        <v>203</v>
      </c>
      <c r="E132" s="5" t="s">
        <v>213</v>
      </c>
      <c r="F132" s="5" t="s">
        <v>222</v>
      </c>
      <c r="G132" s="5" t="s">
        <v>352</v>
      </c>
      <c r="H132" s="5">
        <v>131</v>
      </c>
      <c r="I132" s="5">
        <v>27</v>
      </c>
      <c r="J132" s="5">
        <v>3</v>
      </c>
      <c r="K132" s="5" t="s">
        <v>384</v>
      </c>
    </row>
    <row r="133" spans="1:11">
      <c r="A133" s="5" t="s">
        <v>142</v>
      </c>
      <c r="B133" s="11">
        <v>46183</v>
      </c>
      <c r="C133" s="8">
        <v>0.52083333333333337</v>
      </c>
      <c r="D133" s="5" t="s">
        <v>203</v>
      </c>
      <c r="E133" s="5" t="s">
        <v>212</v>
      </c>
      <c r="F133" s="5" t="s">
        <v>223</v>
      </c>
      <c r="G133" s="5" t="s">
        <v>353</v>
      </c>
      <c r="H133" s="5">
        <v>102</v>
      </c>
      <c r="I133" s="5">
        <v>37</v>
      </c>
      <c r="J133" s="5">
        <v>2</v>
      </c>
      <c r="K133" s="5" t="s">
        <v>382</v>
      </c>
    </row>
    <row r="134" spans="1:11">
      <c r="A134" s="5" t="s">
        <v>143</v>
      </c>
      <c r="B134" s="11">
        <v>46184</v>
      </c>
      <c r="C134" s="8">
        <v>0.84722222222222221</v>
      </c>
      <c r="D134" s="5" t="s">
        <v>207</v>
      </c>
      <c r="E134" s="5" t="s">
        <v>210</v>
      </c>
      <c r="F134" s="5" t="s">
        <v>224</v>
      </c>
      <c r="G134" s="5" t="s">
        <v>354</v>
      </c>
      <c r="H134" s="5">
        <v>170</v>
      </c>
      <c r="I134" s="5">
        <v>18</v>
      </c>
      <c r="J134" s="5">
        <v>4</v>
      </c>
      <c r="K134" s="5" t="s">
        <v>383</v>
      </c>
    </row>
    <row r="135" spans="1:11">
      <c r="A135" s="5" t="s">
        <v>144</v>
      </c>
      <c r="B135" s="11">
        <v>46185</v>
      </c>
      <c r="C135" s="8">
        <v>0.88541666666666663</v>
      </c>
      <c r="D135" s="5" t="s">
        <v>204</v>
      </c>
      <c r="E135" s="5" t="s">
        <v>210</v>
      </c>
      <c r="F135" s="5" t="s">
        <v>225</v>
      </c>
      <c r="G135" s="5" t="s">
        <v>355</v>
      </c>
      <c r="H135" s="5">
        <v>115</v>
      </c>
      <c r="I135" s="5">
        <v>26</v>
      </c>
      <c r="J135" s="5">
        <v>3</v>
      </c>
      <c r="K135" s="5" t="s">
        <v>384</v>
      </c>
    </row>
    <row r="136" spans="1:11">
      <c r="A136" s="5" t="s">
        <v>145</v>
      </c>
      <c r="B136" s="11">
        <v>46186</v>
      </c>
      <c r="C136" s="8">
        <v>0.92361111111111116</v>
      </c>
      <c r="D136" s="5" t="s">
        <v>204</v>
      </c>
      <c r="E136" s="5" t="s">
        <v>211</v>
      </c>
      <c r="F136" s="5" t="s">
        <v>214</v>
      </c>
      <c r="G136" s="5" t="s">
        <v>356</v>
      </c>
      <c r="H136" s="5">
        <v>179</v>
      </c>
      <c r="I136" s="5">
        <v>28</v>
      </c>
      <c r="J136" s="5">
        <v>2</v>
      </c>
      <c r="K136" s="5" t="s">
        <v>383</v>
      </c>
    </row>
    <row r="137" spans="1:11">
      <c r="A137" s="5" t="s">
        <v>146</v>
      </c>
      <c r="B137" s="11">
        <v>46187</v>
      </c>
      <c r="C137" s="8">
        <v>0.52083333333333337</v>
      </c>
      <c r="D137" s="5" t="s">
        <v>205</v>
      </c>
      <c r="E137" s="5" t="s">
        <v>212</v>
      </c>
      <c r="F137" s="5" t="s">
        <v>219</v>
      </c>
      <c r="G137" s="5" t="s">
        <v>357</v>
      </c>
      <c r="H137" s="5">
        <v>242</v>
      </c>
      <c r="I137" s="5">
        <v>16</v>
      </c>
      <c r="J137" s="5">
        <v>3</v>
      </c>
      <c r="K137" s="5" t="s">
        <v>383</v>
      </c>
    </row>
    <row r="138" spans="1:11">
      <c r="A138" s="5" t="s">
        <v>147</v>
      </c>
      <c r="B138" s="11">
        <v>46188</v>
      </c>
      <c r="C138" s="8">
        <v>0.44791666666666669</v>
      </c>
      <c r="D138" s="5" t="s">
        <v>206</v>
      </c>
      <c r="E138" s="5" t="s">
        <v>213</v>
      </c>
      <c r="F138" s="5" t="s">
        <v>220</v>
      </c>
      <c r="G138" s="5" t="s">
        <v>358</v>
      </c>
      <c r="H138" s="5">
        <v>196</v>
      </c>
      <c r="I138" s="5">
        <v>18</v>
      </c>
      <c r="J138" s="5">
        <v>5</v>
      </c>
      <c r="K138" s="5" t="s">
        <v>382</v>
      </c>
    </row>
    <row r="139" spans="1:11">
      <c r="A139" s="5" t="s">
        <v>148</v>
      </c>
      <c r="B139" s="11">
        <v>46189</v>
      </c>
      <c r="C139" s="8">
        <v>0.47916666666666669</v>
      </c>
      <c r="D139" s="5" t="s">
        <v>203</v>
      </c>
      <c r="E139" s="5" t="s">
        <v>209</v>
      </c>
      <c r="F139" s="5" t="s">
        <v>221</v>
      </c>
      <c r="G139" s="5" t="s">
        <v>359</v>
      </c>
      <c r="H139" s="5">
        <v>214</v>
      </c>
      <c r="I139" s="5">
        <v>18</v>
      </c>
      <c r="J139" s="5">
        <v>4</v>
      </c>
      <c r="K139" s="5" t="s">
        <v>383</v>
      </c>
    </row>
    <row r="140" spans="1:11">
      <c r="A140" s="5" t="s">
        <v>149</v>
      </c>
      <c r="B140" s="12" t="s">
        <v>200</v>
      </c>
      <c r="C140" s="8">
        <v>0.5</v>
      </c>
      <c r="D140" s="5" t="s">
        <v>203</v>
      </c>
      <c r="E140" s="5" t="s">
        <v>210</v>
      </c>
      <c r="F140" s="5" t="s">
        <v>222</v>
      </c>
      <c r="G140" s="5" t="s">
        <v>360</v>
      </c>
      <c r="H140" s="5">
        <v>131</v>
      </c>
      <c r="I140" s="5">
        <v>27</v>
      </c>
      <c r="J140" s="5">
        <v>3</v>
      </c>
      <c r="K140" s="5" t="s">
        <v>384</v>
      </c>
    </row>
    <row r="141" spans="1:11">
      <c r="A141" s="5" t="s">
        <v>150</v>
      </c>
      <c r="B141" s="11">
        <v>46191</v>
      </c>
      <c r="C141" s="8">
        <v>0.59722222222222221</v>
      </c>
      <c r="D141" s="5" t="s">
        <v>207</v>
      </c>
      <c r="E141" s="5" t="s">
        <v>211</v>
      </c>
      <c r="F141" s="5" t="s">
        <v>223</v>
      </c>
      <c r="G141" s="5" t="s">
        <v>361</v>
      </c>
      <c r="H141" s="5">
        <v>121</v>
      </c>
      <c r="I141" s="5">
        <v>39</v>
      </c>
      <c r="J141" s="5">
        <v>3</v>
      </c>
      <c r="K141" s="5" t="s">
        <v>382</v>
      </c>
    </row>
    <row r="142" spans="1:11">
      <c r="A142" s="5" t="s">
        <v>151</v>
      </c>
      <c r="B142" s="11">
        <v>46192</v>
      </c>
      <c r="C142" s="8">
        <v>0.64513888888888893</v>
      </c>
      <c r="D142" s="5" t="s">
        <v>204</v>
      </c>
      <c r="E142" s="5" t="s">
        <v>212</v>
      </c>
      <c r="F142" s="5" t="s">
        <v>224</v>
      </c>
      <c r="G142" s="5" t="s">
        <v>362</v>
      </c>
      <c r="H142" s="5">
        <v>132</v>
      </c>
      <c r="I142" s="5">
        <v>27</v>
      </c>
      <c r="J142" s="5">
        <v>4</v>
      </c>
      <c r="K142" s="5" t="s">
        <v>383</v>
      </c>
    </row>
    <row r="143" spans="1:11">
      <c r="A143" s="5" t="s">
        <v>152</v>
      </c>
      <c r="B143" s="11">
        <v>46193</v>
      </c>
      <c r="C143" s="8">
        <v>0.62638888888888888</v>
      </c>
      <c r="D143" s="5" t="s">
        <v>204</v>
      </c>
      <c r="E143" s="5" t="s">
        <v>213</v>
      </c>
      <c r="F143" s="5" t="s">
        <v>225</v>
      </c>
      <c r="G143" s="5" t="s">
        <v>363</v>
      </c>
      <c r="H143" s="5">
        <v>260</v>
      </c>
      <c r="I143" s="5">
        <v>23</v>
      </c>
      <c r="J143" s="5">
        <v>3</v>
      </c>
      <c r="K143" s="5" t="s">
        <v>384</v>
      </c>
    </row>
    <row r="144" spans="1:11">
      <c r="A144" s="5" t="s">
        <v>153</v>
      </c>
      <c r="B144" s="11">
        <v>46194</v>
      </c>
      <c r="C144" s="8">
        <v>0.52500000000000002</v>
      </c>
      <c r="D144" s="5" t="s">
        <v>203</v>
      </c>
      <c r="E144" s="5" t="s">
        <v>209</v>
      </c>
      <c r="F144" s="5" t="s">
        <v>219</v>
      </c>
      <c r="G144" s="5" t="s">
        <v>364</v>
      </c>
      <c r="H144" s="5">
        <v>144</v>
      </c>
      <c r="I144" s="5">
        <v>27</v>
      </c>
      <c r="J144" s="5">
        <v>3</v>
      </c>
      <c r="K144" s="5" t="s">
        <v>382</v>
      </c>
    </row>
    <row r="145" spans="1:11">
      <c r="A145" s="5" t="s">
        <v>154</v>
      </c>
      <c r="B145" s="12" t="s">
        <v>201</v>
      </c>
      <c r="C145" s="8">
        <v>0.6694444444444444</v>
      </c>
      <c r="D145" s="5" t="s">
        <v>207</v>
      </c>
      <c r="E145" s="5" t="s">
        <v>210</v>
      </c>
      <c r="F145" s="5" t="s">
        <v>220</v>
      </c>
      <c r="G145" s="5" t="s">
        <v>365</v>
      </c>
      <c r="H145" s="5">
        <v>161</v>
      </c>
      <c r="I145" s="5">
        <v>18</v>
      </c>
      <c r="J145" s="5">
        <v>5</v>
      </c>
      <c r="K145" s="5" t="s">
        <v>382</v>
      </c>
    </row>
    <row r="146" spans="1:11">
      <c r="A146" s="5" t="s">
        <v>155</v>
      </c>
      <c r="B146" s="11">
        <v>46196</v>
      </c>
      <c r="C146" s="8">
        <v>0.67361111111111116</v>
      </c>
      <c r="D146" s="5" t="s">
        <v>204</v>
      </c>
      <c r="E146" s="5" t="s">
        <v>211</v>
      </c>
      <c r="F146" s="5" t="s">
        <v>221</v>
      </c>
      <c r="G146" s="5" t="s">
        <v>366</v>
      </c>
      <c r="H146" s="5">
        <v>283</v>
      </c>
      <c r="I146" s="5">
        <v>26</v>
      </c>
      <c r="J146" s="5">
        <v>4</v>
      </c>
      <c r="K146" s="5" t="s">
        <v>382</v>
      </c>
    </row>
    <row r="147" spans="1:11">
      <c r="A147" s="5" t="s">
        <v>156</v>
      </c>
      <c r="B147" s="11">
        <v>46197</v>
      </c>
      <c r="C147" s="8">
        <v>0.69791666666666663</v>
      </c>
      <c r="D147" s="5" t="s">
        <v>205</v>
      </c>
      <c r="E147" s="5" t="s">
        <v>212</v>
      </c>
      <c r="F147" s="5" t="s">
        <v>222</v>
      </c>
      <c r="G147" s="5" t="s">
        <v>367</v>
      </c>
      <c r="H147" s="5">
        <v>262</v>
      </c>
      <c r="I147" s="5">
        <v>19</v>
      </c>
      <c r="J147" s="5">
        <v>3</v>
      </c>
      <c r="K147" s="5" t="s">
        <v>382</v>
      </c>
    </row>
    <row r="148" spans="1:11">
      <c r="A148" s="5" t="s">
        <v>157</v>
      </c>
      <c r="B148" s="11">
        <v>46198</v>
      </c>
      <c r="C148" s="8">
        <v>0.77083333333333337</v>
      </c>
      <c r="D148" s="5" t="s">
        <v>206</v>
      </c>
      <c r="E148" s="5" t="s">
        <v>213</v>
      </c>
      <c r="F148" s="5" t="s">
        <v>223</v>
      </c>
      <c r="G148" s="5" t="s">
        <v>368</v>
      </c>
      <c r="H148" s="5">
        <v>276</v>
      </c>
      <c r="I148" s="5">
        <v>18</v>
      </c>
      <c r="J148" s="5">
        <v>2</v>
      </c>
      <c r="K148" s="5" t="s">
        <v>383</v>
      </c>
    </row>
    <row r="149" spans="1:11">
      <c r="A149" s="5" t="s">
        <v>158</v>
      </c>
      <c r="B149" s="11">
        <v>46199</v>
      </c>
      <c r="C149" s="8">
        <v>0.52083333333333337</v>
      </c>
      <c r="D149" s="5" t="s">
        <v>203</v>
      </c>
      <c r="E149" s="5" t="s">
        <v>209</v>
      </c>
      <c r="F149" s="5" t="s">
        <v>224</v>
      </c>
      <c r="G149" s="5" t="s">
        <v>369</v>
      </c>
      <c r="H149" s="5">
        <v>209</v>
      </c>
      <c r="I149" s="5">
        <v>27</v>
      </c>
      <c r="J149" s="5">
        <v>2</v>
      </c>
      <c r="K149" s="5" t="s">
        <v>384</v>
      </c>
    </row>
    <row r="150" spans="1:11">
      <c r="A150" s="5" t="s">
        <v>159</v>
      </c>
      <c r="B150" s="11">
        <v>46200</v>
      </c>
      <c r="C150" s="8">
        <v>0.84722222222222221</v>
      </c>
      <c r="D150" s="5" t="s">
        <v>203</v>
      </c>
      <c r="E150" s="5" t="s">
        <v>210</v>
      </c>
      <c r="F150" s="5" t="s">
        <v>225</v>
      </c>
      <c r="G150" s="5" t="s">
        <v>370</v>
      </c>
      <c r="H150" s="5">
        <v>223</v>
      </c>
      <c r="I150" s="5">
        <v>37</v>
      </c>
      <c r="J150" s="5">
        <v>4</v>
      </c>
      <c r="K150" s="5" t="s">
        <v>383</v>
      </c>
    </row>
    <row r="151" spans="1:11">
      <c r="A151" s="5" t="s">
        <v>160</v>
      </c>
      <c r="B151" s="11">
        <v>46201</v>
      </c>
      <c r="C151" s="8">
        <v>0.88541666666666663</v>
      </c>
      <c r="D151" s="5" t="s">
        <v>207</v>
      </c>
      <c r="E151" s="5" t="s">
        <v>211</v>
      </c>
      <c r="F151" s="5" t="s">
        <v>214</v>
      </c>
      <c r="G151" s="5" t="s">
        <v>371</v>
      </c>
      <c r="H151" s="5">
        <v>198</v>
      </c>
      <c r="I151" s="5">
        <v>18</v>
      </c>
      <c r="J151" s="5">
        <v>3</v>
      </c>
      <c r="K151" s="5" t="s">
        <v>382</v>
      </c>
    </row>
    <row r="152" spans="1:11">
      <c r="A152" s="5" t="s">
        <v>161</v>
      </c>
      <c r="B152" s="11">
        <v>46202</v>
      </c>
      <c r="C152" s="8">
        <v>0.92361111111111116</v>
      </c>
      <c r="D152" s="5" t="s">
        <v>204</v>
      </c>
      <c r="E152" s="5" t="s">
        <v>212</v>
      </c>
      <c r="F152" s="5" t="s">
        <v>215</v>
      </c>
      <c r="G152" s="5" t="s">
        <v>372</v>
      </c>
      <c r="H152" s="5">
        <v>150</v>
      </c>
      <c r="I152" s="5">
        <v>26</v>
      </c>
      <c r="J152" s="5">
        <v>2</v>
      </c>
      <c r="K152" s="5" t="s">
        <v>383</v>
      </c>
    </row>
    <row r="153" spans="1:11">
      <c r="A153" s="5" t="s">
        <v>162</v>
      </c>
      <c r="B153" s="11">
        <v>46203</v>
      </c>
      <c r="C153" s="8">
        <v>0.52083333333333337</v>
      </c>
      <c r="D153" s="5" t="s">
        <v>204</v>
      </c>
      <c r="E153" s="5" t="s">
        <v>210</v>
      </c>
      <c r="F153" s="5" t="s">
        <v>216</v>
      </c>
      <c r="G153" s="5" t="s">
        <v>373</v>
      </c>
      <c r="H153" s="5">
        <v>224</v>
      </c>
      <c r="I153" s="5">
        <v>28</v>
      </c>
      <c r="J153" s="5">
        <v>1</v>
      </c>
      <c r="K153" s="5" t="s">
        <v>382</v>
      </c>
    </row>
    <row r="154" spans="1:11">
      <c r="A154" s="5" t="s">
        <v>163</v>
      </c>
      <c r="B154" s="12" t="s">
        <v>199</v>
      </c>
      <c r="C154" s="8">
        <v>0.44791666666666669</v>
      </c>
      <c r="D154" s="5" t="s">
        <v>203</v>
      </c>
      <c r="E154" s="5" t="s">
        <v>209</v>
      </c>
      <c r="F154" s="5" t="s">
        <v>217</v>
      </c>
      <c r="G154" s="5" t="s">
        <v>374</v>
      </c>
      <c r="H154" s="5">
        <v>101</v>
      </c>
      <c r="I154" s="5">
        <v>16</v>
      </c>
      <c r="J154" s="5">
        <v>3</v>
      </c>
      <c r="K154" s="5" t="s">
        <v>383</v>
      </c>
    </row>
    <row r="155" spans="1:11">
      <c r="A155" s="5" t="s">
        <v>164</v>
      </c>
      <c r="B155" s="11">
        <v>46205</v>
      </c>
      <c r="C155" s="8">
        <v>0.47916666666666669</v>
      </c>
      <c r="D155" s="5" t="s">
        <v>207</v>
      </c>
      <c r="E155" s="5" t="s">
        <v>210</v>
      </c>
      <c r="F155" s="5" t="s">
        <v>218</v>
      </c>
      <c r="G155" s="5" t="s">
        <v>375</v>
      </c>
      <c r="H155" s="5">
        <v>152</v>
      </c>
      <c r="I155" s="5">
        <v>18</v>
      </c>
      <c r="J155" s="5">
        <v>4</v>
      </c>
      <c r="K155" s="5" t="s">
        <v>384</v>
      </c>
    </row>
    <row r="156" spans="1:11">
      <c r="A156" s="5" t="s">
        <v>165</v>
      </c>
      <c r="B156" s="11">
        <v>46206</v>
      </c>
      <c r="C156" s="8">
        <v>0.5</v>
      </c>
      <c r="D156" s="5" t="s">
        <v>204</v>
      </c>
      <c r="E156" s="5" t="s">
        <v>211</v>
      </c>
      <c r="F156" s="5" t="s">
        <v>214</v>
      </c>
      <c r="G156" s="5" t="s">
        <v>376</v>
      </c>
      <c r="H156" s="5">
        <v>130</v>
      </c>
      <c r="I156" s="5">
        <v>18</v>
      </c>
      <c r="J156" s="5">
        <v>2</v>
      </c>
      <c r="K156" s="5" t="s">
        <v>383</v>
      </c>
    </row>
    <row r="157" spans="1:11">
      <c r="A157" s="5" t="s">
        <v>166</v>
      </c>
      <c r="B157" s="11">
        <v>46207</v>
      </c>
      <c r="C157" s="8">
        <v>0.59722222222222221</v>
      </c>
      <c r="D157" s="5" t="s">
        <v>205</v>
      </c>
      <c r="E157" s="5" t="s">
        <v>212</v>
      </c>
      <c r="F157" s="5" t="s">
        <v>219</v>
      </c>
      <c r="G157" s="5" t="s">
        <v>377</v>
      </c>
      <c r="H157" s="5">
        <v>237</v>
      </c>
      <c r="I157" s="5">
        <v>27</v>
      </c>
      <c r="J157" s="5">
        <v>4</v>
      </c>
      <c r="K157" s="5" t="s">
        <v>382</v>
      </c>
    </row>
    <row r="158" spans="1:11">
      <c r="A158" s="5" t="s">
        <v>167</v>
      </c>
      <c r="B158" s="12" t="s">
        <v>202</v>
      </c>
      <c r="C158" s="8">
        <v>0.64513888888888893</v>
      </c>
      <c r="D158" s="5" t="s">
        <v>206</v>
      </c>
      <c r="E158" s="5" t="s">
        <v>213</v>
      </c>
      <c r="F158" s="5" t="s">
        <v>220</v>
      </c>
      <c r="G158" s="5" t="s">
        <v>378</v>
      </c>
      <c r="H158" s="5">
        <v>212</v>
      </c>
      <c r="I158" s="5">
        <v>39</v>
      </c>
      <c r="J158" s="5">
        <v>4</v>
      </c>
      <c r="K158" s="5" t="s">
        <v>383</v>
      </c>
    </row>
    <row r="159" spans="1:11">
      <c r="A159" s="5" t="s">
        <v>168</v>
      </c>
      <c r="B159" s="11">
        <v>46209</v>
      </c>
      <c r="C159" s="8">
        <v>0.62638888888888888</v>
      </c>
      <c r="D159" s="5" t="s">
        <v>203</v>
      </c>
      <c r="E159" s="5" t="s">
        <v>209</v>
      </c>
      <c r="F159" s="5" t="s">
        <v>221</v>
      </c>
      <c r="G159" s="5" t="s">
        <v>379</v>
      </c>
      <c r="H159" s="5">
        <v>108</v>
      </c>
      <c r="I159" s="5">
        <v>27</v>
      </c>
      <c r="J159" s="5">
        <v>4</v>
      </c>
      <c r="K159" s="5" t="s">
        <v>384</v>
      </c>
    </row>
    <row r="160" spans="1:11">
      <c r="A160" s="5" t="s">
        <v>169</v>
      </c>
      <c r="B160" s="11">
        <v>46210</v>
      </c>
      <c r="C160" s="8">
        <v>0.52500000000000002</v>
      </c>
      <c r="D160" s="5" t="s">
        <v>203</v>
      </c>
      <c r="E160" s="5" t="s">
        <v>210</v>
      </c>
      <c r="F160" s="5" t="s">
        <v>222</v>
      </c>
      <c r="G160" s="5" t="s">
        <v>380</v>
      </c>
      <c r="H160" s="5">
        <v>256</v>
      </c>
      <c r="I160" s="5">
        <v>18</v>
      </c>
      <c r="J160" s="5">
        <v>3</v>
      </c>
      <c r="K160" s="5" t="s">
        <v>383</v>
      </c>
    </row>
    <row r="161" spans="1:11">
      <c r="A161" s="5" t="s">
        <v>170</v>
      </c>
      <c r="B161" s="11">
        <v>46211</v>
      </c>
      <c r="C161" s="8">
        <v>0.6694444444444444</v>
      </c>
      <c r="D161" s="5" t="s">
        <v>207</v>
      </c>
      <c r="E161" s="5" t="s">
        <v>211</v>
      </c>
      <c r="F161" s="5" t="s">
        <v>223</v>
      </c>
      <c r="G161" s="5" t="s">
        <v>381</v>
      </c>
      <c r="H161" s="5">
        <v>234</v>
      </c>
      <c r="I161" s="5">
        <v>12</v>
      </c>
      <c r="J161" s="5">
        <v>3</v>
      </c>
      <c r="K161" s="5" t="s">
        <v>384</v>
      </c>
    </row>
    <row r="162" spans="1:11">
      <c r="C162" s="8"/>
    </row>
    <row r="163" spans="1:11">
      <c r="C163" s="8"/>
    </row>
    <row r="164" spans="1:11">
      <c r="C164" s="8"/>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0FA1B-F6EE-4A17-817A-6CC84DC3A22D}">
  <dimension ref="A1:D7"/>
  <sheetViews>
    <sheetView workbookViewId="0">
      <selection activeCell="E23" sqref="E23"/>
    </sheetView>
  </sheetViews>
  <sheetFormatPr defaultRowHeight="14.5"/>
  <cols>
    <col min="1" max="1" width="13" customWidth="1"/>
    <col min="2" max="2" width="16.90625" customWidth="1"/>
    <col min="3" max="3" width="15.26953125" customWidth="1"/>
  </cols>
  <sheetData>
    <row r="1" spans="1:4">
      <c r="A1" s="5" t="s">
        <v>389</v>
      </c>
      <c r="B1" s="5" t="s">
        <v>386</v>
      </c>
      <c r="C1" s="5" t="s">
        <v>387</v>
      </c>
      <c r="D1" s="5" t="s">
        <v>388</v>
      </c>
    </row>
    <row r="2" spans="1:4">
      <c r="A2" s="5" t="s">
        <v>203</v>
      </c>
      <c r="B2" s="5" t="s">
        <v>390</v>
      </c>
      <c r="C2" s="5" t="s">
        <v>394</v>
      </c>
      <c r="D2" s="5" t="s">
        <v>399</v>
      </c>
    </row>
    <row r="3" spans="1:4">
      <c r="A3" s="5" t="s">
        <v>207</v>
      </c>
      <c r="B3" s="5" t="s">
        <v>391</v>
      </c>
      <c r="C3" s="5" t="s">
        <v>395</v>
      </c>
      <c r="D3" s="5" t="s">
        <v>400</v>
      </c>
    </row>
    <row r="4" spans="1:4">
      <c r="A4" s="5" t="s">
        <v>204</v>
      </c>
      <c r="B4" s="5" t="s">
        <v>392</v>
      </c>
      <c r="C4" s="5" t="s">
        <v>396</v>
      </c>
      <c r="D4" s="5" t="s">
        <v>401</v>
      </c>
    </row>
    <row r="5" spans="1:4">
      <c r="A5" s="5" t="s">
        <v>205</v>
      </c>
      <c r="B5" s="5" t="s">
        <v>403</v>
      </c>
      <c r="C5" s="5" t="s">
        <v>397</v>
      </c>
      <c r="D5" s="5" t="s">
        <v>402</v>
      </c>
    </row>
    <row r="6" spans="1:4">
      <c r="A6" s="5" t="s">
        <v>206</v>
      </c>
      <c r="B6" s="5" t="s">
        <v>393</v>
      </c>
      <c r="C6" s="5" t="s">
        <v>398</v>
      </c>
      <c r="D6" s="5" t="s">
        <v>267</v>
      </c>
    </row>
    <row r="7" spans="1:4">
      <c r="A7" s="5"/>
      <c r="B7" s="5"/>
      <c r="C7" s="5"/>
      <c r="D7"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AED6E-923A-4222-80B3-F27798C1FB76}">
  <dimension ref="A1:D10"/>
  <sheetViews>
    <sheetView workbookViewId="0">
      <selection activeCell="G20" sqref="G20"/>
    </sheetView>
  </sheetViews>
  <sheetFormatPr defaultRowHeight="14"/>
  <cols>
    <col min="1" max="1" width="19" style="5" customWidth="1"/>
    <col min="2" max="2" width="13.36328125" style="5" customWidth="1"/>
    <col min="3" max="3" width="8.7265625" style="5"/>
    <col min="4" max="4" width="14.453125" style="5" customWidth="1"/>
    <col min="5" max="16384" width="8.7265625" style="5"/>
  </cols>
  <sheetData>
    <row r="1" spans="1:4">
      <c r="A1" s="5" t="s">
        <v>5</v>
      </c>
      <c r="B1" s="5" t="s">
        <v>4</v>
      </c>
      <c r="C1" s="5" t="s">
        <v>449</v>
      </c>
      <c r="D1" s="5" t="s">
        <v>404</v>
      </c>
    </row>
    <row r="2" spans="1:4">
      <c r="A2" s="5" t="s">
        <v>216</v>
      </c>
      <c r="B2" s="5" t="s">
        <v>211</v>
      </c>
      <c r="C2" s="5">
        <v>320</v>
      </c>
      <c r="D2" s="5" t="s">
        <v>406</v>
      </c>
    </row>
    <row r="3" spans="1:4">
      <c r="A3" s="5" t="s">
        <v>227</v>
      </c>
      <c r="B3" s="5" t="s">
        <v>212</v>
      </c>
      <c r="C3" s="5">
        <v>220</v>
      </c>
      <c r="D3" s="5" t="s">
        <v>406</v>
      </c>
    </row>
    <row r="4" spans="1:4">
      <c r="A4" s="5" t="s">
        <v>218</v>
      </c>
      <c r="B4" s="5" t="s">
        <v>213</v>
      </c>
      <c r="C4" s="5">
        <v>120</v>
      </c>
      <c r="D4" s="5" t="s">
        <v>407</v>
      </c>
    </row>
    <row r="5" spans="1:4">
      <c r="A5" s="5" t="s">
        <v>214</v>
      </c>
      <c r="B5" s="5" t="s">
        <v>209</v>
      </c>
      <c r="C5" s="5">
        <v>150</v>
      </c>
      <c r="D5" s="5" t="s">
        <v>408</v>
      </c>
    </row>
    <row r="6" spans="1:4">
      <c r="A6" s="5" t="s">
        <v>223</v>
      </c>
      <c r="B6" s="5" t="s">
        <v>209</v>
      </c>
      <c r="C6" s="5">
        <v>130</v>
      </c>
      <c r="D6" s="5" t="s">
        <v>408</v>
      </c>
    </row>
    <row r="7" spans="1:4">
      <c r="A7" s="5" t="s">
        <v>217</v>
      </c>
      <c r="B7" s="5" t="s">
        <v>212</v>
      </c>
      <c r="C7" s="5">
        <v>210</v>
      </c>
      <c r="D7" s="5" t="s">
        <v>406</v>
      </c>
    </row>
    <row r="8" spans="1:4">
      <c r="A8" s="5" t="s">
        <v>215</v>
      </c>
      <c r="B8" s="5" t="s">
        <v>210</v>
      </c>
      <c r="C8" s="5">
        <v>180</v>
      </c>
      <c r="D8" s="5" t="s">
        <v>210</v>
      </c>
    </row>
    <row r="9" spans="1:4">
      <c r="A9" s="5" t="s">
        <v>405</v>
      </c>
      <c r="B9" s="5" t="s">
        <v>210</v>
      </c>
      <c r="C9" s="5">
        <v>140</v>
      </c>
      <c r="D9" s="5" t="s">
        <v>210</v>
      </c>
    </row>
    <row r="10" spans="1:4">
      <c r="A10" s="5" t="s">
        <v>226</v>
      </c>
      <c r="B10" s="5" t="s">
        <v>211</v>
      </c>
      <c r="C10" s="5">
        <v>260</v>
      </c>
      <c r="D10" s="5" t="s">
        <v>406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166F5-DC65-4ED2-9A38-3F0E95B4FD21}">
  <dimension ref="A1:S161"/>
  <sheetViews>
    <sheetView zoomScale="67" workbookViewId="0">
      <pane ySplit="1" topLeftCell="A2" activePane="bottomLeft" state="frozen"/>
      <selection pane="bottomLeft" activeCell="A2" sqref="A2"/>
    </sheetView>
  </sheetViews>
  <sheetFormatPr defaultRowHeight="14.5"/>
  <cols>
    <col min="1" max="1" width="15.90625" customWidth="1"/>
    <col min="2" max="2" width="15.90625" style="1" customWidth="1"/>
    <col min="3" max="10" width="15.90625" customWidth="1"/>
    <col min="11" max="11" width="19.54296875" customWidth="1"/>
    <col min="12" max="12" width="22.36328125" customWidth="1"/>
    <col min="13" max="13" width="28.6328125" customWidth="1"/>
    <col min="14" max="14" width="20.6328125" customWidth="1"/>
    <col min="15" max="15" width="15.7265625" customWidth="1"/>
    <col min="16" max="16" width="19.36328125" style="16" customWidth="1"/>
    <col min="17" max="17" width="19.6328125" customWidth="1"/>
    <col min="18" max="18" width="20" customWidth="1"/>
    <col min="19" max="19" width="58.90625" bestFit="1" customWidth="1"/>
  </cols>
  <sheetData>
    <row r="1" spans="1:19">
      <c r="A1" s="5" t="s">
        <v>0</v>
      </c>
      <c r="B1" s="7" t="s">
        <v>1</v>
      </c>
      <c r="C1" s="5" t="s">
        <v>2</v>
      </c>
      <c r="D1" s="5" t="s">
        <v>3</v>
      </c>
      <c r="E1" s="5" t="s">
        <v>4</v>
      </c>
      <c r="F1" s="5" t="s">
        <v>5</v>
      </c>
      <c r="G1" s="5" t="s">
        <v>6</v>
      </c>
      <c r="H1" s="5" t="s">
        <v>7</v>
      </c>
      <c r="I1" s="5" t="s">
        <v>8</v>
      </c>
      <c r="J1" s="5" t="s">
        <v>9</v>
      </c>
      <c r="K1" s="5" t="s">
        <v>10</v>
      </c>
      <c r="L1" s="5" t="s">
        <v>448</v>
      </c>
      <c r="M1" s="5" t="s">
        <v>410</v>
      </c>
      <c r="N1" s="5" t="s">
        <v>387</v>
      </c>
      <c r="O1" s="5" t="s">
        <v>411</v>
      </c>
      <c r="P1" s="15" t="s">
        <v>412</v>
      </c>
      <c r="Q1" s="5" t="s">
        <v>413</v>
      </c>
      <c r="R1" s="5" t="s">
        <v>414</v>
      </c>
      <c r="S1" s="2"/>
    </row>
    <row r="2" spans="1:19">
      <c r="A2" s="5" t="s">
        <v>11</v>
      </c>
      <c r="B2" s="7">
        <v>46027</v>
      </c>
      <c r="C2" s="8">
        <v>0.35416666666666669</v>
      </c>
      <c r="D2" s="5" t="s">
        <v>203</v>
      </c>
      <c r="E2" s="5" t="s">
        <v>209</v>
      </c>
      <c r="F2" s="5" t="s">
        <v>214</v>
      </c>
      <c r="G2" s="5" t="s">
        <v>228</v>
      </c>
      <c r="H2" s="5">
        <v>80</v>
      </c>
      <c r="I2" s="5">
        <v>30</v>
      </c>
      <c r="J2" s="5">
        <v>4</v>
      </c>
      <c r="K2" s="5" t="s">
        <v>382</v>
      </c>
      <c r="L2" s="5" t="str">
        <f>INDEX('Master_Menu Item'!$B:$B, MATCH(F2,'Master_Menu Item'!$A:$A,0))</f>
        <v>South Indian</v>
      </c>
      <c r="M2" s="5" t="str">
        <f>PROPER(TRIM(G2))</f>
        <v>Nithya</v>
      </c>
      <c r="N2" s="5" t="str">
        <f>INDEX(Master_Branch!$C:$C, MATCH(D2,Master_Branch!$A:$A,0))</f>
        <v>Bengaluru</v>
      </c>
      <c r="O2" s="5" t="str">
        <f>TEXT(B2,"dddd")</f>
        <v>Monday</v>
      </c>
      <c r="P2" s="15">
        <f>DATE(YEAR(B2),MONTH(B2),1)</f>
        <v>46023</v>
      </c>
      <c r="Q2" s="5" t="str">
        <f>_xlfn.IFS(I2&lt;=20,"Fast", I2&lt;=35,"Normal", I2&gt;35,"Slow")</f>
        <v>Normal</v>
      </c>
      <c r="R2" s="9" t="str">
        <f>IF(J2&gt;=4,"Good","Needs Improvement")</f>
        <v>Good</v>
      </c>
      <c r="S2" s="2"/>
    </row>
    <row r="3" spans="1:19">
      <c r="A3" s="5" t="s">
        <v>12</v>
      </c>
      <c r="B3" s="7">
        <v>46027</v>
      </c>
      <c r="C3" s="8">
        <v>0.40625</v>
      </c>
      <c r="D3" s="5" t="s">
        <v>207</v>
      </c>
      <c r="E3" s="5" t="s">
        <v>210</v>
      </c>
      <c r="F3" s="5" t="s">
        <v>215</v>
      </c>
      <c r="G3" s="5" t="s">
        <v>229</v>
      </c>
      <c r="H3" s="5">
        <v>127</v>
      </c>
      <c r="I3" s="5">
        <v>23</v>
      </c>
      <c r="J3" s="5">
        <v>2</v>
      </c>
      <c r="K3" s="5" t="s">
        <v>383</v>
      </c>
      <c r="L3" s="5" t="str">
        <f>INDEX('Master_Menu Item'!$B:$B, MATCH(F3,'Master_Menu Item'!$A:$A,0))</f>
        <v>Fast Food</v>
      </c>
      <c r="M3" s="5" t="str">
        <f t="shared" ref="M3:M66" si="0">PROPER(TRIM(G3))</f>
        <v>Seetha</v>
      </c>
      <c r="N3" s="5" t="str">
        <f>INDEX(Master_Branch!$C:$C, MATCH(D3,Master_Branch!$A:$A,0))</f>
        <v>Kochi</v>
      </c>
      <c r="O3" s="5" t="str">
        <f t="shared" ref="O3:O66" si="1">TEXT(B3,"dddd")</f>
        <v>Monday</v>
      </c>
      <c r="P3" s="15">
        <f t="shared" ref="P3:P66" si="2">DATE(YEAR(B3),MONTH(B3),1)</f>
        <v>46023</v>
      </c>
      <c r="Q3" s="5" t="str">
        <f t="shared" ref="Q3:Q66" si="3">_xlfn.IFS(I3&lt;=20,"Fast", I3&lt;=35,"Normal", I3&gt;35,"Slow")</f>
        <v>Normal</v>
      </c>
      <c r="R3" s="9" t="str">
        <f t="shared" ref="R3:R66" si="4">IF(J3&gt;=4,"Good","Needs Improvement")</f>
        <v>Needs Improvement</v>
      </c>
    </row>
    <row r="4" spans="1:19">
      <c r="A4" s="5" t="s">
        <v>13</v>
      </c>
      <c r="B4" s="7">
        <v>46056</v>
      </c>
      <c r="C4" s="8">
        <v>0.41875000000000001</v>
      </c>
      <c r="D4" s="5" t="s">
        <v>204</v>
      </c>
      <c r="E4" s="5" t="s">
        <v>211</v>
      </c>
      <c r="F4" s="5" t="s">
        <v>216</v>
      </c>
      <c r="G4" s="5" t="s">
        <v>230</v>
      </c>
      <c r="H4" s="5">
        <v>229</v>
      </c>
      <c r="I4" s="5">
        <v>15</v>
      </c>
      <c r="J4" s="5">
        <v>3</v>
      </c>
      <c r="K4" s="5" t="s">
        <v>384</v>
      </c>
      <c r="L4" s="5" t="str">
        <f>INDEX('Master_Menu Item'!$B:$B, MATCH(F4,'Master_Menu Item'!$A:$A,0))</f>
        <v>North Indian</v>
      </c>
      <c r="M4" s="5" t="str">
        <f t="shared" si="0"/>
        <v>Geetha</v>
      </c>
      <c r="N4" s="5" t="str">
        <f>INDEX(Master_Branch!$C:$C, MATCH(D4,Master_Branch!$A:$A,0))</f>
        <v>Hyderabad</v>
      </c>
      <c r="O4" s="5" t="str">
        <f t="shared" si="1"/>
        <v>Tuesday</v>
      </c>
      <c r="P4" s="15">
        <f t="shared" si="2"/>
        <v>46054</v>
      </c>
      <c r="Q4" s="5" t="str">
        <f t="shared" si="3"/>
        <v>Fast</v>
      </c>
      <c r="R4" s="9" t="str">
        <f t="shared" si="4"/>
        <v>Needs Improvement</v>
      </c>
    </row>
    <row r="5" spans="1:19">
      <c r="A5" s="5" t="s">
        <v>14</v>
      </c>
      <c r="B5" s="7">
        <v>46057</v>
      </c>
      <c r="C5" s="8">
        <v>0.45833333333333331</v>
      </c>
      <c r="D5" s="5" t="s">
        <v>205</v>
      </c>
      <c r="E5" s="5" t="s">
        <v>212</v>
      </c>
      <c r="F5" s="5" t="s">
        <v>217</v>
      </c>
      <c r="G5" s="5" t="s">
        <v>231</v>
      </c>
      <c r="H5" s="5">
        <v>175</v>
      </c>
      <c r="I5" s="5">
        <v>12</v>
      </c>
      <c r="J5" s="5">
        <v>1</v>
      </c>
      <c r="K5" s="5" t="s">
        <v>382</v>
      </c>
      <c r="L5" s="5" t="str">
        <f>INDEX('Master_Menu Item'!$B:$B, MATCH(F5,'Master_Menu Item'!$A:$A,0))</f>
        <v>Chinese</v>
      </c>
      <c r="M5" s="5" t="str">
        <f t="shared" si="0"/>
        <v>Ramya</v>
      </c>
      <c r="N5" s="5" t="str">
        <f>INDEX(Master_Branch!$C:$C, MATCH(D5,Master_Branch!$A:$A,0))</f>
        <v>Vijaywada</v>
      </c>
      <c r="O5" s="5" t="str">
        <f t="shared" si="1"/>
        <v>Wednesday</v>
      </c>
      <c r="P5" s="15">
        <f t="shared" si="2"/>
        <v>46054</v>
      </c>
      <c r="Q5" s="5" t="str">
        <f t="shared" si="3"/>
        <v>Fast</v>
      </c>
      <c r="R5" s="9" t="str">
        <f t="shared" si="4"/>
        <v>Needs Improvement</v>
      </c>
    </row>
    <row r="6" spans="1:19">
      <c r="A6" s="5" t="s">
        <v>15</v>
      </c>
      <c r="B6" s="7">
        <v>46058</v>
      </c>
      <c r="C6" s="8">
        <v>0.51388888888888884</v>
      </c>
      <c r="D6" s="5" t="s">
        <v>206</v>
      </c>
      <c r="E6" s="5" t="s">
        <v>213</v>
      </c>
      <c r="F6" s="5" t="s">
        <v>218</v>
      </c>
      <c r="G6" s="5" t="s">
        <v>232</v>
      </c>
      <c r="H6" s="5">
        <v>274</v>
      </c>
      <c r="I6" s="5">
        <v>40</v>
      </c>
      <c r="J6" s="5">
        <v>5</v>
      </c>
      <c r="K6" s="5" t="s">
        <v>383</v>
      </c>
      <c r="L6" s="5" t="str">
        <f>INDEX('Master_Menu Item'!$B:$B, MATCH(F6,'Master_Menu Item'!$A:$A,0))</f>
        <v>Deserts/Bakery</v>
      </c>
      <c r="M6" s="5" t="str">
        <f t="shared" si="0"/>
        <v>Teja</v>
      </c>
      <c r="N6" s="5" t="str">
        <f>INDEX(Master_Branch!$C:$C, MATCH(D6,Master_Branch!$A:$A,0))</f>
        <v>Chennai</v>
      </c>
      <c r="O6" s="5" t="str">
        <f t="shared" si="1"/>
        <v>Thursday</v>
      </c>
      <c r="P6" s="15">
        <f t="shared" si="2"/>
        <v>46054</v>
      </c>
      <c r="Q6" s="5" t="str">
        <f t="shared" si="3"/>
        <v>Slow</v>
      </c>
      <c r="R6" s="9" t="str">
        <f t="shared" si="4"/>
        <v>Good</v>
      </c>
    </row>
    <row r="7" spans="1:19">
      <c r="A7" s="5" t="s">
        <v>16</v>
      </c>
      <c r="B7" s="7">
        <v>46059</v>
      </c>
      <c r="C7" s="8">
        <v>0.35416666666666669</v>
      </c>
      <c r="D7" s="5" t="s">
        <v>203</v>
      </c>
      <c r="E7" s="5" t="s">
        <v>209</v>
      </c>
      <c r="F7" s="5" t="s">
        <v>214</v>
      </c>
      <c r="G7" s="5" t="s">
        <v>233</v>
      </c>
      <c r="H7" s="5">
        <v>231</v>
      </c>
      <c r="I7" s="5">
        <v>25</v>
      </c>
      <c r="J7" s="5">
        <v>3</v>
      </c>
      <c r="K7" s="5" t="s">
        <v>384</v>
      </c>
      <c r="L7" s="5" t="str">
        <f>INDEX('Master_Menu Item'!$B:$B, MATCH(F7,'Master_Menu Item'!$A:$A,0))</f>
        <v>South Indian</v>
      </c>
      <c r="M7" s="5" t="str">
        <f t="shared" si="0"/>
        <v>Asmitha</v>
      </c>
      <c r="N7" s="5" t="str">
        <f>INDEX(Master_Branch!$C:$C, MATCH(D7,Master_Branch!$A:$A,0))</f>
        <v>Bengaluru</v>
      </c>
      <c r="O7" s="5" t="str">
        <f t="shared" si="1"/>
        <v>Friday</v>
      </c>
      <c r="P7" s="15">
        <f>DATE(YEAR(B7),MONTH(B7),1)</f>
        <v>46054</v>
      </c>
      <c r="Q7" s="5" t="str">
        <f t="shared" si="3"/>
        <v>Normal</v>
      </c>
      <c r="R7" s="9" t="str">
        <f t="shared" si="4"/>
        <v>Needs Improvement</v>
      </c>
    </row>
    <row r="8" spans="1:19">
      <c r="A8" s="5" t="s">
        <v>17</v>
      </c>
      <c r="B8" s="7">
        <v>46060</v>
      </c>
      <c r="C8" s="8">
        <v>0.55555555555555558</v>
      </c>
      <c r="D8" s="5" t="s">
        <v>203</v>
      </c>
      <c r="E8" s="5" t="s">
        <v>210</v>
      </c>
      <c r="F8" s="5" t="s">
        <v>409</v>
      </c>
      <c r="G8" s="5" t="s">
        <v>234</v>
      </c>
      <c r="H8" s="5">
        <v>160</v>
      </c>
      <c r="I8" s="5">
        <v>32</v>
      </c>
      <c r="J8" s="5">
        <v>4</v>
      </c>
      <c r="K8" s="5" t="s">
        <v>383</v>
      </c>
      <c r="L8" s="5" t="str">
        <f>INDEX('Master_Menu Item'!$B:$B, MATCH(F8,'Master_Menu Item'!$A:$A,0))</f>
        <v>Fast Food</v>
      </c>
      <c r="M8" s="5" t="str">
        <f t="shared" si="0"/>
        <v>Ashrith</v>
      </c>
      <c r="N8" s="5" t="str">
        <f>INDEX(Master_Branch!$C:$C, MATCH(D8,Master_Branch!$A:$A,0))</f>
        <v>Bengaluru</v>
      </c>
      <c r="O8" s="5" t="str">
        <f t="shared" si="1"/>
        <v>Saturday</v>
      </c>
      <c r="P8" s="15">
        <f t="shared" si="2"/>
        <v>46054</v>
      </c>
      <c r="Q8" s="5" t="str">
        <f t="shared" si="3"/>
        <v>Normal</v>
      </c>
      <c r="R8" s="9" t="str">
        <f t="shared" si="4"/>
        <v>Good</v>
      </c>
    </row>
    <row r="9" spans="1:19">
      <c r="A9" s="5" t="s">
        <v>18</v>
      </c>
      <c r="B9" s="7">
        <v>46061</v>
      </c>
      <c r="C9" s="8">
        <v>0.47222222222222221</v>
      </c>
      <c r="D9" s="5" t="s">
        <v>207</v>
      </c>
      <c r="E9" s="5" t="s">
        <v>211</v>
      </c>
      <c r="F9" s="5" t="s">
        <v>226</v>
      </c>
      <c r="G9" s="5" t="s">
        <v>235</v>
      </c>
      <c r="H9" s="5">
        <v>239</v>
      </c>
      <c r="I9" s="5">
        <v>30</v>
      </c>
      <c r="J9" s="5">
        <v>2</v>
      </c>
      <c r="K9" s="5" t="s">
        <v>384</v>
      </c>
      <c r="L9" s="5" t="str">
        <f>INDEX('Master_Menu Item'!$B:$B, MATCH(F9,'Master_Menu Item'!$A:$A,0))</f>
        <v>North Indian</v>
      </c>
      <c r="M9" s="5" t="str">
        <f t="shared" si="0"/>
        <v>Ajay</v>
      </c>
      <c r="N9" s="5" t="str">
        <f>INDEX(Master_Branch!$C:$C, MATCH(D9,Master_Branch!$A:$A,0))</f>
        <v>Kochi</v>
      </c>
      <c r="O9" s="5" t="str">
        <f t="shared" si="1"/>
        <v>Sunday</v>
      </c>
      <c r="P9" s="15">
        <f t="shared" si="2"/>
        <v>46054</v>
      </c>
      <c r="Q9" s="5" t="str">
        <f t="shared" si="3"/>
        <v>Normal</v>
      </c>
      <c r="R9" s="9" t="str">
        <f t="shared" si="4"/>
        <v>Needs Improvement</v>
      </c>
    </row>
    <row r="10" spans="1:19">
      <c r="A10" s="5" t="s">
        <v>19</v>
      </c>
      <c r="B10" s="7">
        <v>46063</v>
      </c>
      <c r="C10" s="8">
        <v>0.60416666666666663</v>
      </c>
      <c r="D10" s="5" t="s">
        <v>204</v>
      </c>
      <c r="E10" s="5" t="s">
        <v>212</v>
      </c>
      <c r="F10" s="5" t="s">
        <v>227</v>
      </c>
      <c r="G10" s="5" t="s">
        <v>236</v>
      </c>
      <c r="H10" s="5">
        <v>280</v>
      </c>
      <c r="I10" s="5">
        <v>12</v>
      </c>
      <c r="J10" s="5">
        <v>5</v>
      </c>
      <c r="K10" s="5" t="s">
        <v>382</v>
      </c>
      <c r="L10" s="5" t="str">
        <f>INDEX('Master_Menu Item'!$B:$B, MATCH(F10,'Master_Menu Item'!$A:$A,0))</f>
        <v>Chinese</v>
      </c>
      <c r="M10" s="5" t="str">
        <f t="shared" si="0"/>
        <v>Sai</v>
      </c>
      <c r="N10" s="5" t="str">
        <f>INDEX(Master_Branch!$C:$C, MATCH(D10,Master_Branch!$A:$A,0))</f>
        <v>Hyderabad</v>
      </c>
      <c r="O10" s="5" t="str">
        <f t="shared" si="1"/>
        <v>Tuesday</v>
      </c>
      <c r="P10" s="15">
        <f>DATE(YEAR(B10),MONTH(B10),1)</f>
        <v>46054</v>
      </c>
      <c r="Q10" s="5" t="str">
        <f t="shared" si="3"/>
        <v>Fast</v>
      </c>
      <c r="R10" s="9" t="str">
        <f t="shared" si="4"/>
        <v>Good</v>
      </c>
    </row>
    <row r="11" spans="1:19">
      <c r="A11" s="5" t="s">
        <v>20</v>
      </c>
      <c r="B11" s="10">
        <v>46064</v>
      </c>
      <c r="C11" s="8">
        <v>0.52083333333333337</v>
      </c>
      <c r="D11" s="5" t="s">
        <v>205</v>
      </c>
      <c r="E11" s="5" t="s">
        <v>213</v>
      </c>
      <c r="F11" s="5" t="s">
        <v>218</v>
      </c>
      <c r="G11" s="5" t="s">
        <v>237</v>
      </c>
      <c r="H11" s="5">
        <v>163</v>
      </c>
      <c r="I11" s="5">
        <v>10</v>
      </c>
      <c r="J11" s="5">
        <v>1</v>
      </c>
      <c r="K11" s="5" t="s">
        <v>383</v>
      </c>
      <c r="L11" s="5" t="str">
        <f>INDEX('Master_Menu Item'!$B:$B, MATCH(F11,'Master_Menu Item'!$A:$A,0))</f>
        <v>Deserts/Bakery</v>
      </c>
      <c r="M11" s="5" t="str">
        <f t="shared" si="0"/>
        <v>Bharath</v>
      </c>
      <c r="N11" s="5" t="str">
        <f>INDEX(Master_Branch!$C:$C, MATCH(D11,Master_Branch!$A:$A,0))</f>
        <v>Vijaywada</v>
      </c>
      <c r="O11" s="5" t="str">
        <f t="shared" si="1"/>
        <v>Wednesday</v>
      </c>
      <c r="P11" s="15">
        <f t="shared" si="2"/>
        <v>46054</v>
      </c>
      <c r="Q11" s="5" t="str">
        <f t="shared" si="3"/>
        <v>Fast</v>
      </c>
      <c r="R11" s="9" t="str">
        <f t="shared" si="4"/>
        <v>Needs Improvement</v>
      </c>
    </row>
    <row r="12" spans="1:19">
      <c r="A12" s="5" t="s">
        <v>21</v>
      </c>
      <c r="B12" s="7">
        <v>46065</v>
      </c>
      <c r="C12" s="8">
        <v>0.47916666666666669</v>
      </c>
      <c r="D12" s="5" t="s">
        <v>206</v>
      </c>
      <c r="E12" s="5" t="s">
        <v>209</v>
      </c>
      <c r="F12" s="5" t="s">
        <v>223</v>
      </c>
      <c r="G12" s="5" t="s">
        <v>233</v>
      </c>
      <c r="H12" s="5">
        <v>208</v>
      </c>
      <c r="I12" s="5">
        <v>10</v>
      </c>
      <c r="J12" s="5">
        <v>4</v>
      </c>
      <c r="K12" s="5" t="s">
        <v>382</v>
      </c>
      <c r="L12" s="5" t="str">
        <f>INDEX('Master_Menu Item'!$B:$B, MATCH(F12,'Master_Menu Item'!$A:$A,0))</f>
        <v>South Indian</v>
      </c>
      <c r="M12" s="5" t="str">
        <f t="shared" si="0"/>
        <v>Asmitha</v>
      </c>
      <c r="N12" s="5" t="str">
        <f>INDEX(Master_Branch!$C:$C, MATCH(D12,Master_Branch!$A:$A,0))</f>
        <v>Chennai</v>
      </c>
      <c r="O12" s="5" t="str">
        <f t="shared" si="1"/>
        <v>Thursday</v>
      </c>
      <c r="P12" s="15">
        <f t="shared" si="2"/>
        <v>46054</v>
      </c>
      <c r="Q12" s="5" t="str">
        <f t="shared" si="3"/>
        <v>Fast</v>
      </c>
      <c r="R12" s="9" t="str">
        <f t="shared" si="4"/>
        <v>Good</v>
      </c>
    </row>
    <row r="13" spans="1:19">
      <c r="A13" s="5" t="s">
        <v>22</v>
      </c>
      <c r="B13" s="10">
        <v>46065</v>
      </c>
      <c r="C13" s="8">
        <v>0.52777777777777779</v>
      </c>
      <c r="D13" s="5" t="s">
        <v>203</v>
      </c>
      <c r="E13" s="5" t="s">
        <v>210</v>
      </c>
      <c r="F13" s="5" t="s">
        <v>215</v>
      </c>
      <c r="G13" s="5" t="s">
        <v>261</v>
      </c>
      <c r="H13" s="5">
        <v>272</v>
      </c>
      <c r="I13" s="5">
        <v>20</v>
      </c>
      <c r="J13" s="5">
        <v>2</v>
      </c>
      <c r="K13" s="5" t="s">
        <v>383</v>
      </c>
      <c r="L13" s="5" t="str">
        <f>INDEX('Master_Menu Item'!$B:$B, MATCH(F13,'Master_Menu Item'!$A:$A,0))</f>
        <v>Fast Food</v>
      </c>
      <c r="M13" s="5" t="str">
        <f t="shared" si="0"/>
        <v>Sheela</v>
      </c>
      <c r="N13" s="5" t="str">
        <f>INDEX(Master_Branch!$C:$C, MATCH(D13,Master_Branch!$A:$A,0))</f>
        <v>Bengaluru</v>
      </c>
      <c r="O13" s="5" t="str">
        <f t="shared" si="1"/>
        <v>Thursday</v>
      </c>
      <c r="P13" s="15">
        <f t="shared" si="2"/>
        <v>46054</v>
      </c>
      <c r="Q13" s="5" t="str">
        <f t="shared" si="3"/>
        <v>Fast</v>
      </c>
      <c r="R13" s="9" t="str">
        <f t="shared" si="4"/>
        <v>Needs Improvement</v>
      </c>
    </row>
    <row r="14" spans="1:19">
      <c r="A14" s="5" t="s">
        <v>23</v>
      </c>
      <c r="B14" s="10">
        <v>46065</v>
      </c>
      <c r="C14" s="8">
        <v>0.5625</v>
      </c>
      <c r="D14" s="5" t="s">
        <v>203</v>
      </c>
      <c r="E14" s="5" t="s">
        <v>211</v>
      </c>
      <c r="F14" s="5" t="s">
        <v>216</v>
      </c>
      <c r="G14" s="5" t="s">
        <v>262</v>
      </c>
      <c r="H14" s="5">
        <v>242</v>
      </c>
      <c r="I14" s="5">
        <v>20</v>
      </c>
      <c r="J14" s="5">
        <v>4</v>
      </c>
      <c r="K14" s="5" t="s">
        <v>384</v>
      </c>
      <c r="L14" s="5" t="str">
        <f>INDEX('Master_Menu Item'!$B:$B, MATCH(F14,'Master_Menu Item'!$A:$A,0))</f>
        <v>North Indian</v>
      </c>
      <c r="M14" s="5" t="str">
        <f t="shared" si="0"/>
        <v>Joshna</v>
      </c>
      <c r="N14" s="5" t="str">
        <f>INDEX(Master_Branch!$C:$C, MATCH(D14,Master_Branch!$A:$A,0))</f>
        <v>Bengaluru</v>
      </c>
      <c r="O14" s="5" t="str">
        <f t="shared" si="1"/>
        <v>Thursday</v>
      </c>
      <c r="P14" s="15">
        <f t="shared" si="2"/>
        <v>46054</v>
      </c>
      <c r="Q14" s="5" t="str">
        <f t="shared" si="3"/>
        <v>Fast</v>
      </c>
      <c r="R14" s="9" t="str">
        <f t="shared" si="4"/>
        <v>Good</v>
      </c>
    </row>
    <row r="15" spans="1:19">
      <c r="A15" s="5" t="s">
        <v>24</v>
      </c>
      <c r="B15" s="10">
        <v>46065</v>
      </c>
      <c r="C15" s="8">
        <v>0.6875</v>
      </c>
      <c r="D15" s="5" t="s">
        <v>207</v>
      </c>
      <c r="E15" s="5" t="s">
        <v>212</v>
      </c>
      <c r="F15" s="5" t="s">
        <v>214</v>
      </c>
      <c r="G15" s="5" t="s">
        <v>238</v>
      </c>
      <c r="H15" s="5">
        <v>123</v>
      </c>
      <c r="I15" s="5">
        <v>20</v>
      </c>
      <c r="J15" s="5">
        <v>3</v>
      </c>
      <c r="K15" s="5" t="s">
        <v>382</v>
      </c>
      <c r="L15" s="5" t="str">
        <f>INDEX('Master_Menu Item'!$B:$B, MATCH(F15,'Master_Menu Item'!$A:$A,0))</f>
        <v>South Indian</v>
      </c>
      <c r="M15" s="5" t="str">
        <f t="shared" si="0"/>
        <v>Indhu</v>
      </c>
      <c r="N15" s="5" t="str">
        <f>INDEX(Master_Branch!$C:$C, MATCH(D15,Master_Branch!$A:$A,0))</f>
        <v>Kochi</v>
      </c>
      <c r="O15" s="5" t="str">
        <f t="shared" si="1"/>
        <v>Thursday</v>
      </c>
      <c r="P15" s="15">
        <f t="shared" si="2"/>
        <v>46054</v>
      </c>
      <c r="Q15" s="5" t="str">
        <f t="shared" si="3"/>
        <v>Fast</v>
      </c>
      <c r="R15" s="9" t="str">
        <f t="shared" si="4"/>
        <v>Needs Improvement</v>
      </c>
    </row>
    <row r="16" spans="1:19">
      <c r="A16" s="5" t="s">
        <v>25</v>
      </c>
      <c r="B16" s="7">
        <v>46066</v>
      </c>
      <c r="C16" s="8">
        <v>0.3888888888888889</v>
      </c>
      <c r="D16" s="5" t="s">
        <v>204</v>
      </c>
      <c r="E16" s="5" t="s">
        <v>213</v>
      </c>
      <c r="F16" s="5" t="s">
        <v>215</v>
      </c>
      <c r="G16" s="5" t="s">
        <v>239</v>
      </c>
      <c r="H16" s="5">
        <v>192</v>
      </c>
      <c r="I16" s="5">
        <v>30</v>
      </c>
      <c r="J16" s="5">
        <v>2</v>
      </c>
      <c r="K16" s="5" t="s">
        <v>383</v>
      </c>
      <c r="L16" s="5" t="str">
        <f>INDEX('Master_Menu Item'!$B:$B, MATCH(F16,'Master_Menu Item'!$A:$A,0))</f>
        <v>Fast Food</v>
      </c>
      <c r="M16" s="5" t="str">
        <f t="shared" si="0"/>
        <v>Dhanush</v>
      </c>
      <c r="N16" s="5" t="str">
        <f>INDEX(Master_Branch!$C:$C, MATCH(D16,Master_Branch!$A:$A,0))</f>
        <v>Hyderabad</v>
      </c>
      <c r="O16" s="5" t="str">
        <f t="shared" si="1"/>
        <v>Friday</v>
      </c>
      <c r="P16" s="15">
        <f t="shared" si="2"/>
        <v>46054</v>
      </c>
      <c r="Q16" s="5" t="str">
        <f t="shared" si="3"/>
        <v>Normal</v>
      </c>
      <c r="R16" s="9" t="str">
        <f t="shared" si="4"/>
        <v>Needs Improvement</v>
      </c>
    </row>
    <row r="17" spans="1:18">
      <c r="A17" s="5" t="s">
        <v>26</v>
      </c>
      <c r="B17" s="7">
        <v>46067</v>
      </c>
      <c r="C17" s="8">
        <v>0.43055555555555558</v>
      </c>
      <c r="D17" s="5" t="s">
        <v>205</v>
      </c>
      <c r="E17" s="5" t="s">
        <v>212</v>
      </c>
      <c r="F17" s="5" t="s">
        <v>216</v>
      </c>
      <c r="G17" s="5" t="s">
        <v>240</v>
      </c>
      <c r="H17" s="5">
        <v>143</v>
      </c>
      <c r="I17" s="5">
        <v>20</v>
      </c>
      <c r="J17" s="5">
        <v>4</v>
      </c>
      <c r="K17" s="5" t="s">
        <v>384</v>
      </c>
      <c r="L17" s="5" t="str">
        <f>INDEX('Master_Menu Item'!$B:$B, MATCH(F17,'Master_Menu Item'!$A:$A,0))</f>
        <v>North Indian</v>
      </c>
      <c r="M17" s="5" t="str">
        <f t="shared" si="0"/>
        <v>Dheeraj</v>
      </c>
      <c r="N17" s="5" t="str">
        <f>INDEX(Master_Branch!$C:$C, MATCH(D17,Master_Branch!$A:$A,0))</f>
        <v>Vijaywada</v>
      </c>
      <c r="O17" s="5" t="str">
        <f t="shared" si="1"/>
        <v>Saturday</v>
      </c>
      <c r="P17" s="15">
        <f t="shared" si="2"/>
        <v>46054</v>
      </c>
      <c r="Q17" s="5" t="str">
        <f t="shared" si="3"/>
        <v>Fast</v>
      </c>
      <c r="R17" s="9" t="str">
        <f t="shared" si="4"/>
        <v>Good</v>
      </c>
    </row>
    <row r="18" spans="1:18">
      <c r="A18" s="5" t="s">
        <v>27</v>
      </c>
      <c r="B18" s="7">
        <v>46068</v>
      </c>
      <c r="C18" s="8">
        <v>0.56944444444444442</v>
      </c>
      <c r="D18" s="5" t="s">
        <v>206</v>
      </c>
      <c r="E18" s="5" t="s">
        <v>213</v>
      </c>
      <c r="F18" s="5" t="s">
        <v>217</v>
      </c>
      <c r="G18" s="5" t="s">
        <v>241</v>
      </c>
      <c r="H18" s="5">
        <v>277</v>
      </c>
      <c r="I18" s="5">
        <v>34</v>
      </c>
      <c r="J18" s="5">
        <v>1</v>
      </c>
      <c r="K18" s="5" t="s">
        <v>383</v>
      </c>
      <c r="L18" s="5" t="str">
        <f>INDEX('Master_Menu Item'!$B:$B, MATCH(F18,'Master_Menu Item'!$A:$A,0))</f>
        <v>Chinese</v>
      </c>
      <c r="M18" s="5" t="str">
        <f t="shared" si="0"/>
        <v>Vaishnavi</v>
      </c>
      <c r="N18" s="5" t="str">
        <f>INDEX(Master_Branch!$C:$C, MATCH(D18,Master_Branch!$A:$A,0))</f>
        <v>Chennai</v>
      </c>
      <c r="O18" s="5" t="str">
        <f t="shared" si="1"/>
        <v>Sunday</v>
      </c>
      <c r="P18" s="15">
        <f t="shared" si="2"/>
        <v>46054</v>
      </c>
      <c r="Q18" s="5" t="str">
        <f t="shared" si="3"/>
        <v>Normal</v>
      </c>
      <c r="R18" s="9" t="str">
        <f t="shared" si="4"/>
        <v>Needs Improvement</v>
      </c>
    </row>
    <row r="19" spans="1:18">
      <c r="A19" s="5" t="s">
        <v>28</v>
      </c>
      <c r="B19" s="7">
        <v>46069</v>
      </c>
      <c r="C19" s="8">
        <v>0.52083333333333337</v>
      </c>
      <c r="D19" s="5" t="s">
        <v>203</v>
      </c>
      <c r="E19" s="5" t="s">
        <v>209</v>
      </c>
      <c r="F19" s="5" t="s">
        <v>218</v>
      </c>
      <c r="G19" s="5" t="s">
        <v>242</v>
      </c>
      <c r="H19" s="5">
        <v>212</v>
      </c>
      <c r="I19" s="5">
        <v>36</v>
      </c>
      <c r="J19" s="5">
        <v>4</v>
      </c>
      <c r="K19" s="5" t="s">
        <v>383</v>
      </c>
      <c r="L19" s="5" t="str">
        <f>INDEX('Master_Menu Item'!$B:$B, MATCH(F19,'Master_Menu Item'!$A:$A,0))</f>
        <v>Deserts/Bakery</v>
      </c>
      <c r="M19" s="5" t="str">
        <f t="shared" si="0"/>
        <v>Jay</v>
      </c>
      <c r="N19" s="5" t="str">
        <f>INDEX(Master_Branch!$C:$C, MATCH(D19,Master_Branch!$A:$A,0))</f>
        <v>Bengaluru</v>
      </c>
      <c r="O19" s="5" t="str">
        <f t="shared" si="1"/>
        <v>Monday</v>
      </c>
      <c r="P19" s="15">
        <f t="shared" si="2"/>
        <v>46054</v>
      </c>
      <c r="Q19" s="5" t="str">
        <f t="shared" si="3"/>
        <v>Slow</v>
      </c>
      <c r="R19" s="9" t="str">
        <f t="shared" si="4"/>
        <v>Good</v>
      </c>
    </row>
    <row r="20" spans="1:18">
      <c r="A20" s="5" t="s">
        <v>29</v>
      </c>
      <c r="B20" s="7">
        <v>46070</v>
      </c>
      <c r="C20" s="8">
        <v>0.60416666666666663</v>
      </c>
      <c r="D20" s="5" t="s">
        <v>203</v>
      </c>
      <c r="E20" s="5" t="s">
        <v>210</v>
      </c>
      <c r="F20" s="5" t="s">
        <v>214</v>
      </c>
      <c r="G20" s="5" t="s">
        <v>243</v>
      </c>
      <c r="H20" s="5">
        <v>165</v>
      </c>
      <c r="I20" s="5">
        <v>26</v>
      </c>
      <c r="J20" s="5">
        <v>5</v>
      </c>
      <c r="K20" s="5" t="s">
        <v>382</v>
      </c>
      <c r="L20" s="5" t="str">
        <f>INDEX('Master_Menu Item'!$B:$B, MATCH(F20,'Master_Menu Item'!$A:$A,0))</f>
        <v>South Indian</v>
      </c>
      <c r="M20" s="5" t="str">
        <f t="shared" si="0"/>
        <v>Kiran</v>
      </c>
      <c r="N20" s="5" t="str">
        <f>INDEX(Master_Branch!$C:$C, MATCH(D20,Master_Branch!$A:$A,0))</f>
        <v>Bengaluru</v>
      </c>
      <c r="O20" s="5" t="str">
        <f t="shared" si="1"/>
        <v>Tuesday</v>
      </c>
      <c r="P20" s="15">
        <f t="shared" si="2"/>
        <v>46054</v>
      </c>
      <c r="Q20" s="5" t="str">
        <f t="shared" si="3"/>
        <v>Normal</v>
      </c>
      <c r="R20" s="9" t="str">
        <f t="shared" si="4"/>
        <v>Good</v>
      </c>
    </row>
    <row r="21" spans="1:18">
      <c r="A21" s="5" t="s">
        <v>30</v>
      </c>
      <c r="B21" s="7">
        <v>46071</v>
      </c>
      <c r="C21" s="8">
        <v>0.47916666666666669</v>
      </c>
      <c r="D21" s="5" t="s">
        <v>207</v>
      </c>
      <c r="E21" s="5" t="s">
        <v>211</v>
      </c>
      <c r="F21" s="5" t="s">
        <v>409</v>
      </c>
      <c r="G21" s="5" t="s">
        <v>244</v>
      </c>
      <c r="H21" s="5">
        <v>153</v>
      </c>
      <c r="I21" s="5">
        <v>18</v>
      </c>
      <c r="J21" s="5">
        <v>4</v>
      </c>
      <c r="K21" s="5" t="s">
        <v>383</v>
      </c>
      <c r="L21" s="5" t="str">
        <f>INDEX('Master_Menu Item'!$B:$B, MATCH(F21,'Master_Menu Item'!$A:$A,0))</f>
        <v>Fast Food</v>
      </c>
      <c r="M21" s="5" t="str">
        <f t="shared" si="0"/>
        <v>Varsha</v>
      </c>
      <c r="N21" s="5" t="str">
        <f>INDEX(Master_Branch!$C:$C, MATCH(D21,Master_Branch!$A:$A,0))</f>
        <v>Kochi</v>
      </c>
      <c r="O21" s="5" t="str">
        <f t="shared" si="1"/>
        <v>Wednesday</v>
      </c>
      <c r="P21" s="15">
        <f t="shared" si="2"/>
        <v>46054</v>
      </c>
      <c r="Q21" s="5" t="str">
        <f t="shared" si="3"/>
        <v>Fast</v>
      </c>
      <c r="R21" s="9" t="str">
        <f t="shared" si="4"/>
        <v>Good</v>
      </c>
    </row>
    <row r="22" spans="1:18">
      <c r="A22" s="5" t="s">
        <v>31</v>
      </c>
      <c r="B22" s="7">
        <v>46072</v>
      </c>
      <c r="C22" s="8">
        <v>0.53125</v>
      </c>
      <c r="D22" s="5" t="s">
        <v>204</v>
      </c>
      <c r="E22" s="5" t="s">
        <v>212</v>
      </c>
      <c r="F22" s="5" t="s">
        <v>226</v>
      </c>
      <c r="G22" s="5" t="s">
        <v>245</v>
      </c>
      <c r="H22" s="5">
        <v>127</v>
      </c>
      <c r="I22" s="5">
        <v>229</v>
      </c>
      <c r="J22" s="5">
        <v>2</v>
      </c>
      <c r="K22" s="5" t="s">
        <v>384</v>
      </c>
      <c r="L22" s="5" t="str">
        <f>INDEX('Master_Menu Item'!$B:$B, MATCH(F22,'Master_Menu Item'!$A:$A,0))</f>
        <v>North Indian</v>
      </c>
      <c r="M22" s="5" t="str">
        <f t="shared" si="0"/>
        <v>Varshith</v>
      </c>
      <c r="N22" s="5" t="str">
        <f>INDEX(Master_Branch!$C:$C, MATCH(D22,Master_Branch!$A:$A,0))</f>
        <v>Hyderabad</v>
      </c>
      <c r="O22" s="5" t="str">
        <f t="shared" si="1"/>
        <v>Thursday</v>
      </c>
      <c r="P22" s="15">
        <f t="shared" si="2"/>
        <v>46054</v>
      </c>
      <c r="Q22" s="5" t="str">
        <f t="shared" si="3"/>
        <v>Slow</v>
      </c>
      <c r="R22" s="9" t="str">
        <f t="shared" si="4"/>
        <v>Needs Improvement</v>
      </c>
    </row>
    <row r="23" spans="1:18">
      <c r="A23" s="5" t="s">
        <v>32</v>
      </c>
      <c r="B23" s="7">
        <v>46073</v>
      </c>
      <c r="C23" s="8">
        <v>0.35416666666666669</v>
      </c>
      <c r="D23" s="5" t="s">
        <v>205</v>
      </c>
      <c r="E23" s="5" t="s">
        <v>213</v>
      </c>
      <c r="F23" s="5" t="s">
        <v>227</v>
      </c>
      <c r="G23" s="5" t="s">
        <v>246</v>
      </c>
      <c r="H23" s="5">
        <v>187</v>
      </c>
      <c r="I23" s="5">
        <v>31</v>
      </c>
      <c r="J23" s="5">
        <v>3</v>
      </c>
      <c r="K23" s="5" t="s">
        <v>383</v>
      </c>
      <c r="L23" s="5" t="str">
        <f>INDEX('Master_Menu Item'!$B:$B, MATCH(F23,'Master_Menu Item'!$A:$A,0))</f>
        <v>Chinese</v>
      </c>
      <c r="M23" s="5" t="str">
        <f t="shared" si="0"/>
        <v>Varun</v>
      </c>
      <c r="N23" s="5" t="str">
        <f>INDEX(Master_Branch!$C:$C, MATCH(D23,Master_Branch!$A:$A,0))</f>
        <v>Vijaywada</v>
      </c>
      <c r="O23" s="5" t="str">
        <f t="shared" si="1"/>
        <v>Friday</v>
      </c>
      <c r="P23" s="15">
        <f t="shared" si="2"/>
        <v>46054</v>
      </c>
      <c r="Q23" s="5" t="str">
        <f t="shared" si="3"/>
        <v>Normal</v>
      </c>
      <c r="R23" s="9" t="str">
        <f t="shared" si="4"/>
        <v>Needs Improvement</v>
      </c>
    </row>
    <row r="24" spans="1:18">
      <c r="A24" s="5" t="s">
        <v>33</v>
      </c>
      <c r="B24" s="7">
        <v>46074</v>
      </c>
      <c r="C24" s="8">
        <v>0.40625</v>
      </c>
      <c r="D24" s="5" t="s">
        <v>206</v>
      </c>
      <c r="E24" s="5" t="s">
        <v>211</v>
      </c>
      <c r="F24" s="5" t="s">
        <v>218</v>
      </c>
      <c r="G24" s="5" t="s">
        <v>247</v>
      </c>
      <c r="H24" s="5">
        <v>150</v>
      </c>
      <c r="I24" s="5">
        <v>36</v>
      </c>
      <c r="J24" s="5">
        <v>2</v>
      </c>
      <c r="K24" s="5" t="s">
        <v>382</v>
      </c>
      <c r="L24" s="5" t="str">
        <f>INDEX('Master_Menu Item'!$B:$B, MATCH(F24,'Master_Menu Item'!$A:$A,0))</f>
        <v>Deserts/Bakery</v>
      </c>
      <c r="M24" s="5" t="str">
        <f t="shared" si="0"/>
        <v>Tejas</v>
      </c>
      <c r="N24" s="5" t="str">
        <f>INDEX(Master_Branch!$C:$C, MATCH(D24,Master_Branch!$A:$A,0))</f>
        <v>Chennai</v>
      </c>
      <c r="O24" s="5" t="str">
        <f t="shared" si="1"/>
        <v>Saturday</v>
      </c>
      <c r="P24" s="15">
        <f t="shared" si="2"/>
        <v>46054</v>
      </c>
      <c r="Q24" s="5" t="str">
        <f t="shared" si="3"/>
        <v>Slow</v>
      </c>
      <c r="R24" s="9" t="str">
        <f t="shared" si="4"/>
        <v>Needs Improvement</v>
      </c>
    </row>
    <row r="25" spans="1:18">
      <c r="A25" s="5" t="s">
        <v>34</v>
      </c>
      <c r="B25" s="10">
        <v>46075</v>
      </c>
      <c r="C25" s="8">
        <v>0.4375</v>
      </c>
      <c r="D25" s="5" t="s">
        <v>203</v>
      </c>
      <c r="E25" s="5" t="s">
        <v>212</v>
      </c>
      <c r="F25" s="5" t="s">
        <v>223</v>
      </c>
      <c r="G25" s="5" t="s">
        <v>248</v>
      </c>
      <c r="H25" s="5">
        <v>266</v>
      </c>
      <c r="I25" s="5">
        <v>39</v>
      </c>
      <c r="J25" s="5">
        <v>3</v>
      </c>
      <c r="K25" s="5" t="s">
        <v>382</v>
      </c>
      <c r="L25" s="5" t="str">
        <f>INDEX('Master_Menu Item'!$B:$B, MATCH(F25,'Master_Menu Item'!$A:$A,0))</f>
        <v>South Indian</v>
      </c>
      <c r="M25" s="5" t="str">
        <f t="shared" si="0"/>
        <v>Tharuni</v>
      </c>
      <c r="N25" s="5" t="str">
        <f>INDEX(Master_Branch!$C:$C, MATCH(D25,Master_Branch!$A:$A,0))</f>
        <v>Bengaluru</v>
      </c>
      <c r="O25" s="5" t="str">
        <f t="shared" si="1"/>
        <v>Sunday</v>
      </c>
      <c r="P25" s="15">
        <f t="shared" si="2"/>
        <v>46054</v>
      </c>
      <c r="Q25" s="5" t="str">
        <f t="shared" si="3"/>
        <v>Slow</v>
      </c>
      <c r="R25" s="9" t="str">
        <f t="shared" si="4"/>
        <v>Needs Improvement</v>
      </c>
    </row>
    <row r="26" spans="1:18">
      <c r="A26" s="5" t="s">
        <v>35</v>
      </c>
      <c r="B26" s="10">
        <v>46076</v>
      </c>
      <c r="C26" s="8">
        <v>0.52083333333333337</v>
      </c>
      <c r="D26" s="5" t="s">
        <v>203</v>
      </c>
      <c r="E26" s="5" t="s">
        <v>213</v>
      </c>
      <c r="F26" s="5" t="s">
        <v>215</v>
      </c>
      <c r="G26" s="5" t="s">
        <v>249</v>
      </c>
      <c r="H26" s="5">
        <v>127</v>
      </c>
      <c r="I26" s="5">
        <v>42</v>
      </c>
      <c r="J26" s="5">
        <v>4</v>
      </c>
      <c r="K26" s="5" t="s">
        <v>383</v>
      </c>
      <c r="L26" s="5" t="str">
        <f>INDEX('Master_Menu Item'!$B:$B, MATCH(F26,'Master_Menu Item'!$A:$A,0))</f>
        <v>Fast Food</v>
      </c>
      <c r="M26" s="5" t="str">
        <f t="shared" si="0"/>
        <v>Bindhu</v>
      </c>
      <c r="N26" s="5" t="str">
        <f>INDEX(Master_Branch!$C:$C, MATCH(D26,Master_Branch!$A:$A,0))</f>
        <v>Bengaluru</v>
      </c>
      <c r="O26" s="5" t="str">
        <f t="shared" si="1"/>
        <v>Monday</v>
      </c>
      <c r="P26" s="15">
        <f t="shared" si="2"/>
        <v>46054</v>
      </c>
      <c r="Q26" s="5" t="str">
        <f t="shared" si="3"/>
        <v>Slow</v>
      </c>
      <c r="R26" s="9" t="str">
        <f t="shared" si="4"/>
        <v>Good</v>
      </c>
    </row>
    <row r="27" spans="1:18">
      <c r="A27" s="5" t="s">
        <v>36</v>
      </c>
      <c r="B27" s="7">
        <v>46077</v>
      </c>
      <c r="C27" s="8">
        <v>0.47916666666666669</v>
      </c>
      <c r="D27" s="5" t="s">
        <v>207</v>
      </c>
      <c r="E27" s="5" t="s">
        <v>212</v>
      </c>
      <c r="F27" s="5" t="s">
        <v>216</v>
      </c>
      <c r="G27" s="5" t="s">
        <v>250</v>
      </c>
      <c r="H27" s="5">
        <v>235</v>
      </c>
      <c r="I27" s="5">
        <v>14</v>
      </c>
      <c r="J27" s="5">
        <v>3</v>
      </c>
      <c r="K27" s="5" t="s">
        <v>384</v>
      </c>
      <c r="L27" s="5" t="str">
        <f>INDEX('Master_Menu Item'!$B:$B, MATCH(F27,'Master_Menu Item'!$A:$A,0))</f>
        <v>North Indian</v>
      </c>
      <c r="M27" s="5" t="str">
        <f t="shared" si="0"/>
        <v>Madhavi</v>
      </c>
      <c r="N27" s="5" t="str">
        <f>INDEX(Master_Branch!$C:$C, MATCH(D27,Master_Branch!$A:$A,0))</f>
        <v>Kochi</v>
      </c>
      <c r="O27" s="5" t="str">
        <f t="shared" si="1"/>
        <v>Tuesday</v>
      </c>
      <c r="P27" s="15">
        <f t="shared" si="2"/>
        <v>46054</v>
      </c>
      <c r="Q27" s="5" t="str">
        <f t="shared" si="3"/>
        <v>Fast</v>
      </c>
      <c r="R27" s="9" t="str">
        <f t="shared" si="4"/>
        <v>Needs Improvement</v>
      </c>
    </row>
    <row r="28" spans="1:18">
      <c r="A28" s="5" t="s">
        <v>37</v>
      </c>
      <c r="B28" s="7">
        <v>46078</v>
      </c>
      <c r="C28" s="8">
        <v>0.52777777777777779</v>
      </c>
      <c r="D28" s="5" t="s">
        <v>204</v>
      </c>
      <c r="E28" s="5" t="s">
        <v>213</v>
      </c>
      <c r="F28" s="5" t="s">
        <v>218</v>
      </c>
      <c r="G28" s="5" t="s">
        <v>251</v>
      </c>
      <c r="H28" s="5">
        <v>242</v>
      </c>
      <c r="I28" s="5">
        <v>16</v>
      </c>
      <c r="J28" s="5">
        <v>4</v>
      </c>
      <c r="K28" s="5" t="s">
        <v>383</v>
      </c>
      <c r="L28" s="5" t="str">
        <f>INDEX('Master_Menu Item'!$B:$B, MATCH(F28,'Master_Menu Item'!$A:$A,0))</f>
        <v>Deserts/Bakery</v>
      </c>
      <c r="M28" s="5" t="str">
        <f t="shared" si="0"/>
        <v>Navadeep</v>
      </c>
      <c r="N28" s="5" t="str">
        <f>INDEX(Master_Branch!$C:$C, MATCH(D28,Master_Branch!$A:$A,0))</f>
        <v>Hyderabad</v>
      </c>
      <c r="O28" s="5" t="str">
        <f t="shared" si="1"/>
        <v>Wednesday</v>
      </c>
      <c r="P28" s="15">
        <f t="shared" si="2"/>
        <v>46054</v>
      </c>
      <c r="Q28" s="5" t="str">
        <f t="shared" si="3"/>
        <v>Fast</v>
      </c>
      <c r="R28" s="9" t="str">
        <f t="shared" si="4"/>
        <v>Good</v>
      </c>
    </row>
    <row r="29" spans="1:18">
      <c r="A29" s="5" t="s">
        <v>38</v>
      </c>
      <c r="B29" s="7">
        <v>46079</v>
      </c>
      <c r="C29" s="8">
        <v>0.5625</v>
      </c>
      <c r="D29" s="5" t="s">
        <v>205</v>
      </c>
      <c r="E29" s="5" t="s">
        <v>209</v>
      </c>
      <c r="F29" s="5" t="s">
        <v>223</v>
      </c>
      <c r="G29" s="5" t="s">
        <v>252</v>
      </c>
      <c r="H29" s="5">
        <v>199</v>
      </c>
      <c r="I29" s="5">
        <v>27</v>
      </c>
      <c r="J29" s="5">
        <v>4</v>
      </c>
      <c r="K29" s="5" t="s">
        <v>382</v>
      </c>
      <c r="L29" s="5" t="str">
        <f>INDEX('Master_Menu Item'!$B:$B, MATCH(F29,'Master_Menu Item'!$A:$A,0))</f>
        <v>South Indian</v>
      </c>
      <c r="M29" s="5" t="str">
        <f t="shared" si="0"/>
        <v>Abhi</v>
      </c>
      <c r="N29" s="5" t="str">
        <f>INDEX(Master_Branch!$C:$C, MATCH(D29,Master_Branch!$A:$A,0))</f>
        <v>Vijaywada</v>
      </c>
      <c r="O29" s="5" t="str">
        <f t="shared" si="1"/>
        <v>Thursday</v>
      </c>
      <c r="P29" s="15">
        <f t="shared" si="2"/>
        <v>46054</v>
      </c>
      <c r="Q29" s="5" t="str">
        <f t="shared" si="3"/>
        <v>Normal</v>
      </c>
      <c r="R29" s="9" t="str">
        <f t="shared" si="4"/>
        <v>Good</v>
      </c>
    </row>
    <row r="30" spans="1:18">
      <c r="A30" s="5" t="s">
        <v>39</v>
      </c>
      <c r="B30" s="10">
        <v>46080</v>
      </c>
      <c r="C30" s="8">
        <v>0.6875</v>
      </c>
      <c r="D30" s="5" t="s">
        <v>206</v>
      </c>
      <c r="E30" s="5" t="s">
        <v>210</v>
      </c>
      <c r="F30" s="5" t="s">
        <v>215</v>
      </c>
      <c r="G30" s="5" t="s">
        <v>253</v>
      </c>
      <c r="H30" s="5">
        <v>282</v>
      </c>
      <c r="I30" s="5">
        <v>18</v>
      </c>
      <c r="J30" s="5">
        <v>2</v>
      </c>
      <c r="K30" s="5" t="s">
        <v>383</v>
      </c>
      <c r="L30" s="5" t="str">
        <f>INDEX('Master_Menu Item'!$B:$B, MATCH(F30,'Master_Menu Item'!$A:$A,0))</f>
        <v>Fast Food</v>
      </c>
      <c r="M30" s="5" t="str">
        <f t="shared" si="0"/>
        <v>Tharun</v>
      </c>
      <c r="N30" s="5" t="str">
        <f>INDEX(Master_Branch!$C:$C, MATCH(D30,Master_Branch!$A:$A,0))</f>
        <v>Chennai</v>
      </c>
      <c r="O30" s="5" t="str">
        <f t="shared" si="1"/>
        <v>Friday</v>
      </c>
      <c r="P30" s="15">
        <f t="shared" si="2"/>
        <v>46054</v>
      </c>
      <c r="Q30" s="5" t="str">
        <f t="shared" si="3"/>
        <v>Fast</v>
      </c>
      <c r="R30" s="9" t="str">
        <f t="shared" si="4"/>
        <v>Needs Improvement</v>
      </c>
    </row>
    <row r="31" spans="1:18">
      <c r="A31" s="5" t="s">
        <v>40</v>
      </c>
      <c r="B31" s="7">
        <v>46081</v>
      </c>
      <c r="C31" s="8">
        <v>0.3888888888888889</v>
      </c>
      <c r="D31" s="5" t="s">
        <v>203</v>
      </c>
      <c r="E31" s="5" t="s">
        <v>211</v>
      </c>
      <c r="F31" s="5" t="s">
        <v>216</v>
      </c>
      <c r="G31" s="5" t="s">
        <v>254</v>
      </c>
      <c r="H31" s="5">
        <v>284</v>
      </c>
      <c r="I31" s="5">
        <v>26</v>
      </c>
      <c r="J31" s="5">
        <v>4</v>
      </c>
      <c r="K31" s="5" t="s">
        <v>384</v>
      </c>
      <c r="L31" s="5" t="str">
        <f>INDEX('Master_Menu Item'!$B:$B, MATCH(F31,'Master_Menu Item'!$A:$A,0))</f>
        <v>North Indian</v>
      </c>
      <c r="M31" s="5" t="str">
        <f t="shared" si="0"/>
        <v>Vedha</v>
      </c>
      <c r="N31" s="5" t="str">
        <f>INDEX(Master_Branch!$C:$C, MATCH(D31,Master_Branch!$A:$A,0))</f>
        <v>Bengaluru</v>
      </c>
      <c r="O31" s="5" t="str">
        <f t="shared" si="1"/>
        <v>Saturday</v>
      </c>
      <c r="P31" s="15">
        <f t="shared" si="2"/>
        <v>46054</v>
      </c>
      <c r="Q31" s="5" t="str">
        <f t="shared" si="3"/>
        <v>Normal</v>
      </c>
      <c r="R31" s="9" t="str">
        <f t="shared" si="4"/>
        <v>Good</v>
      </c>
    </row>
    <row r="32" spans="1:18">
      <c r="A32" s="5" t="s">
        <v>41</v>
      </c>
      <c r="B32" s="7">
        <v>46082</v>
      </c>
      <c r="C32" s="8">
        <v>0.43055555555555558</v>
      </c>
      <c r="D32" s="5" t="s">
        <v>203</v>
      </c>
      <c r="E32" s="5" t="s">
        <v>212</v>
      </c>
      <c r="F32" s="5" t="s">
        <v>214</v>
      </c>
      <c r="G32" s="5" t="s">
        <v>255</v>
      </c>
      <c r="H32" s="5">
        <v>137</v>
      </c>
      <c r="I32" s="5">
        <v>19</v>
      </c>
      <c r="J32" s="5">
        <v>4</v>
      </c>
      <c r="K32" s="5" t="s">
        <v>383</v>
      </c>
      <c r="L32" s="5" t="str">
        <f>INDEX('Master_Menu Item'!$B:$B, MATCH(F32,'Master_Menu Item'!$A:$A,0))</f>
        <v>South Indian</v>
      </c>
      <c r="M32" s="5" t="str">
        <f t="shared" si="0"/>
        <v>Vennela</v>
      </c>
      <c r="N32" s="5" t="str">
        <f>INDEX(Master_Branch!$C:$C, MATCH(D32,Master_Branch!$A:$A,0))</f>
        <v>Bengaluru</v>
      </c>
      <c r="O32" s="5" t="str">
        <f t="shared" si="1"/>
        <v>Sunday</v>
      </c>
      <c r="P32" s="15">
        <f t="shared" si="2"/>
        <v>46082</v>
      </c>
      <c r="Q32" s="5" t="str">
        <f t="shared" si="3"/>
        <v>Fast</v>
      </c>
      <c r="R32" s="9" t="str">
        <f t="shared" si="4"/>
        <v>Good</v>
      </c>
    </row>
    <row r="33" spans="1:18">
      <c r="A33" s="5" t="s">
        <v>42</v>
      </c>
      <c r="B33" s="7">
        <v>46083</v>
      </c>
      <c r="C33" s="8">
        <v>0.56944444444444442</v>
      </c>
      <c r="D33" s="5" t="s">
        <v>207</v>
      </c>
      <c r="E33" s="5" t="s">
        <v>213</v>
      </c>
      <c r="F33" s="5" t="s">
        <v>215</v>
      </c>
      <c r="G33" s="5" t="s">
        <v>256</v>
      </c>
      <c r="H33" s="5">
        <v>139</v>
      </c>
      <c r="I33" s="5">
        <v>18</v>
      </c>
      <c r="J33" s="5">
        <v>3</v>
      </c>
      <c r="K33" s="5" t="s">
        <v>384</v>
      </c>
      <c r="L33" s="5" t="str">
        <f>INDEX('Master_Menu Item'!$B:$B, MATCH(F33,'Master_Menu Item'!$A:$A,0))</f>
        <v>Fast Food</v>
      </c>
      <c r="M33" s="5" t="str">
        <f t="shared" si="0"/>
        <v>Harshini</v>
      </c>
      <c r="N33" s="5" t="str">
        <f>INDEX(Master_Branch!$C:$C, MATCH(D33,Master_Branch!$A:$A,0))</f>
        <v>Kochi</v>
      </c>
      <c r="O33" s="5" t="str">
        <f t="shared" si="1"/>
        <v>Monday</v>
      </c>
      <c r="P33" s="15">
        <f t="shared" si="2"/>
        <v>46082</v>
      </c>
      <c r="Q33" s="5" t="str">
        <f t="shared" si="3"/>
        <v>Fast</v>
      </c>
      <c r="R33" s="9" t="str">
        <f t="shared" si="4"/>
        <v>Needs Improvement</v>
      </c>
    </row>
    <row r="34" spans="1:18">
      <c r="A34" s="5" t="s">
        <v>43</v>
      </c>
      <c r="B34" s="10">
        <v>46084</v>
      </c>
      <c r="C34" s="8">
        <v>0.52083333333333337</v>
      </c>
      <c r="D34" s="5" t="s">
        <v>204</v>
      </c>
      <c r="E34" s="5" t="s">
        <v>209</v>
      </c>
      <c r="F34" s="5" t="s">
        <v>216</v>
      </c>
      <c r="G34" s="5" t="s">
        <v>257</v>
      </c>
      <c r="H34" s="5">
        <v>164</v>
      </c>
      <c r="I34" s="5">
        <v>27</v>
      </c>
      <c r="J34" s="5">
        <v>5</v>
      </c>
      <c r="K34" s="5" t="s">
        <v>382</v>
      </c>
      <c r="L34" s="5" t="str">
        <f>INDEX('Master_Menu Item'!$B:$B, MATCH(F34,'Master_Menu Item'!$A:$A,0))</f>
        <v>North Indian</v>
      </c>
      <c r="M34" s="5" t="str">
        <f t="shared" si="0"/>
        <v>Ali</v>
      </c>
      <c r="N34" s="5" t="str">
        <f>INDEX(Master_Branch!$C:$C, MATCH(D34,Master_Branch!$A:$A,0))</f>
        <v>Hyderabad</v>
      </c>
      <c r="O34" s="5" t="str">
        <f t="shared" si="1"/>
        <v>Tuesday</v>
      </c>
      <c r="P34" s="15">
        <f t="shared" si="2"/>
        <v>46082</v>
      </c>
      <c r="Q34" s="5" t="str">
        <f t="shared" si="3"/>
        <v>Normal</v>
      </c>
      <c r="R34" s="9" t="str">
        <f t="shared" si="4"/>
        <v>Good</v>
      </c>
    </row>
    <row r="35" spans="1:18">
      <c r="A35" s="5" t="s">
        <v>44</v>
      </c>
      <c r="B35" s="7">
        <v>46085</v>
      </c>
      <c r="C35" s="8">
        <v>0.60416666666666663</v>
      </c>
      <c r="D35" s="5" t="s">
        <v>205</v>
      </c>
      <c r="E35" s="5" t="s">
        <v>210</v>
      </c>
      <c r="F35" s="5" t="s">
        <v>217</v>
      </c>
      <c r="G35" s="5" t="s">
        <v>258</v>
      </c>
      <c r="H35" s="5">
        <v>205</v>
      </c>
      <c r="I35" s="5">
        <v>37</v>
      </c>
      <c r="J35" s="5">
        <v>3</v>
      </c>
      <c r="K35" s="5" t="s">
        <v>382</v>
      </c>
      <c r="L35" s="5" t="str">
        <f>INDEX('Master_Menu Item'!$B:$B, MATCH(F35,'Master_Menu Item'!$A:$A,0))</f>
        <v>Chinese</v>
      </c>
      <c r="M35" s="5" t="str">
        <f t="shared" si="0"/>
        <v>Dheeraj</v>
      </c>
      <c r="N35" s="5" t="str">
        <f>INDEX(Master_Branch!$C:$C, MATCH(D35,Master_Branch!$A:$A,0))</f>
        <v>Vijaywada</v>
      </c>
      <c r="O35" s="5" t="str">
        <f t="shared" si="1"/>
        <v>Wednesday</v>
      </c>
      <c r="P35" s="15">
        <f t="shared" si="2"/>
        <v>46082</v>
      </c>
      <c r="Q35" s="5" t="str">
        <f t="shared" si="3"/>
        <v>Slow</v>
      </c>
      <c r="R35" s="9" t="str">
        <f t="shared" si="4"/>
        <v>Needs Improvement</v>
      </c>
    </row>
    <row r="36" spans="1:18">
      <c r="A36" s="5" t="s">
        <v>45</v>
      </c>
      <c r="B36" s="10">
        <v>46084</v>
      </c>
      <c r="C36" s="8">
        <v>0.47916666666666669</v>
      </c>
      <c r="D36" s="5" t="s">
        <v>206</v>
      </c>
      <c r="E36" s="5" t="s">
        <v>211</v>
      </c>
      <c r="F36" s="5" t="s">
        <v>218</v>
      </c>
      <c r="G36" s="5" t="s">
        <v>385</v>
      </c>
      <c r="H36" s="5">
        <v>293</v>
      </c>
      <c r="I36" s="5">
        <v>18</v>
      </c>
      <c r="J36" s="5">
        <v>3</v>
      </c>
      <c r="K36" s="5" t="s">
        <v>383</v>
      </c>
      <c r="L36" s="5" t="str">
        <f>INDEX('Master_Menu Item'!$B:$B, MATCH(F36,'Master_Menu Item'!$A:$A,0))</f>
        <v>Deserts/Bakery</v>
      </c>
      <c r="M36" s="5" t="str">
        <f t="shared" si="0"/>
        <v>Ravi</v>
      </c>
      <c r="N36" s="5" t="str">
        <f>INDEX(Master_Branch!$C:$C, MATCH(D36,Master_Branch!$A:$A,0))</f>
        <v>Chennai</v>
      </c>
      <c r="O36" s="5" t="str">
        <f t="shared" si="1"/>
        <v>Tuesday</v>
      </c>
      <c r="P36" s="15">
        <f t="shared" si="2"/>
        <v>46082</v>
      </c>
      <c r="Q36" s="5" t="str">
        <f t="shared" si="3"/>
        <v>Fast</v>
      </c>
      <c r="R36" s="9" t="str">
        <f t="shared" si="4"/>
        <v>Needs Improvement</v>
      </c>
    </row>
    <row r="37" spans="1:18">
      <c r="A37" s="5" t="s">
        <v>46</v>
      </c>
      <c r="B37" s="7">
        <v>46087</v>
      </c>
      <c r="C37" s="8">
        <v>0.53125</v>
      </c>
      <c r="D37" s="5" t="s">
        <v>203</v>
      </c>
      <c r="E37" s="5" t="s">
        <v>212</v>
      </c>
      <c r="F37" s="5" t="s">
        <v>214</v>
      </c>
      <c r="G37" s="5" t="s">
        <v>259</v>
      </c>
      <c r="H37" s="5">
        <v>106</v>
      </c>
      <c r="I37" s="5">
        <v>26</v>
      </c>
      <c r="J37" s="5">
        <v>3</v>
      </c>
      <c r="K37" s="5" t="s">
        <v>383</v>
      </c>
      <c r="L37" s="5" t="str">
        <f>INDEX('Master_Menu Item'!$B:$B, MATCH(F37,'Master_Menu Item'!$A:$A,0))</f>
        <v>South Indian</v>
      </c>
      <c r="M37" s="5" t="str">
        <f t="shared" si="0"/>
        <v>Sai</v>
      </c>
      <c r="N37" s="5" t="str">
        <f>INDEX(Master_Branch!$C:$C, MATCH(D37,Master_Branch!$A:$A,0))</f>
        <v>Bengaluru</v>
      </c>
      <c r="O37" s="5" t="str">
        <f t="shared" si="1"/>
        <v>Friday</v>
      </c>
      <c r="P37" s="15">
        <f t="shared" si="2"/>
        <v>46082</v>
      </c>
      <c r="Q37" s="5" t="str">
        <f t="shared" si="3"/>
        <v>Normal</v>
      </c>
      <c r="R37" s="9" t="str">
        <f t="shared" si="4"/>
        <v>Needs Improvement</v>
      </c>
    </row>
    <row r="38" spans="1:18">
      <c r="A38" s="5" t="s">
        <v>47</v>
      </c>
      <c r="B38" s="7">
        <v>46088</v>
      </c>
      <c r="C38" s="8">
        <v>0.35416666666666669</v>
      </c>
      <c r="D38" s="5" t="s">
        <v>203</v>
      </c>
      <c r="E38" s="5" t="s">
        <v>213</v>
      </c>
      <c r="F38" s="5" t="s">
        <v>215</v>
      </c>
      <c r="G38" s="5" t="s">
        <v>237</v>
      </c>
      <c r="H38" s="5">
        <v>171</v>
      </c>
      <c r="I38" s="5">
        <v>28</v>
      </c>
      <c r="J38" s="5">
        <v>2</v>
      </c>
      <c r="K38" s="5" t="s">
        <v>382</v>
      </c>
      <c r="L38" s="5" t="str">
        <f>INDEX('Master_Menu Item'!$B:$B, MATCH(F38,'Master_Menu Item'!$A:$A,0))</f>
        <v>Fast Food</v>
      </c>
      <c r="M38" s="5" t="str">
        <f t="shared" si="0"/>
        <v>Bharath</v>
      </c>
      <c r="N38" s="5" t="str">
        <f>INDEX(Master_Branch!$C:$C, MATCH(D38,Master_Branch!$A:$A,0))</f>
        <v>Bengaluru</v>
      </c>
      <c r="O38" s="5" t="str">
        <f t="shared" si="1"/>
        <v>Saturday</v>
      </c>
      <c r="P38" s="15">
        <f t="shared" si="2"/>
        <v>46082</v>
      </c>
      <c r="Q38" s="5" t="str">
        <f t="shared" si="3"/>
        <v>Normal</v>
      </c>
      <c r="R38" s="9" t="str">
        <f t="shared" si="4"/>
        <v>Needs Improvement</v>
      </c>
    </row>
    <row r="39" spans="1:18">
      <c r="A39" s="5" t="s">
        <v>48</v>
      </c>
      <c r="B39" s="7">
        <v>46089</v>
      </c>
      <c r="C39" s="8">
        <v>0.40625</v>
      </c>
      <c r="D39" s="5" t="s">
        <v>207</v>
      </c>
      <c r="E39" s="5" t="s">
        <v>209</v>
      </c>
      <c r="F39" s="5" t="s">
        <v>216</v>
      </c>
      <c r="G39" s="5" t="s">
        <v>262</v>
      </c>
      <c r="H39" s="5">
        <v>253</v>
      </c>
      <c r="I39" s="5">
        <v>16</v>
      </c>
      <c r="J39" s="5">
        <v>4</v>
      </c>
      <c r="K39" s="5" t="s">
        <v>382</v>
      </c>
      <c r="L39" s="5" t="str">
        <f>INDEX('Master_Menu Item'!$B:$B, MATCH(F39,'Master_Menu Item'!$A:$A,0))</f>
        <v>North Indian</v>
      </c>
      <c r="M39" s="5" t="str">
        <f t="shared" si="0"/>
        <v>Joshna</v>
      </c>
      <c r="N39" s="5" t="str">
        <f>INDEX(Master_Branch!$C:$C, MATCH(D39,Master_Branch!$A:$A,0))</f>
        <v>Kochi</v>
      </c>
      <c r="O39" s="5" t="str">
        <f t="shared" si="1"/>
        <v>Sunday</v>
      </c>
      <c r="P39" s="15">
        <f t="shared" si="2"/>
        <v>46082</v>
      </c>
      <c r="Q39" s="5" t="str">
        <f t="shared" si="3"/>
        <v>Fast</v>
      </c>
      <c r="R39" s="9" t="str">
        <f t="shared" si="4"/>
        <v>Good</v>
      </c>
    </row>
    <row r="40" spans="1:18">
      <c r="A40" s="5" t="s">
        <v>49</v>
      </c>
      <c r="B40" s="7">
        <v>46090</v>
      </c>
      <c r="C40" s="8">
        <v>0.4375</v>
      </c>
      <c r="D40" s="5" t="s">
        <v>204</v>
      </c>
      <c r="E40" s="5" t="s">
        <v>210</v>
      </c>
      <c r="F40" s="5" t="s">
        <v>217</v>
      </c>
      <c r="G40" s="5" t="s">
        <v>260</v>
      </c>
      <c r="H40" s="5">
        <v>164</v>
      </c>
      <c r="I40" s="5">
        <v>18</v>
      </c>
      <c r="J40" s="5">
        <v>2</v>
      </c>
      <c r="K40" s="5" t="s">
        <v>383</v>
      </c>
      <c r="L40" s="5" t="str">
        <f>INDEX('Master_Menu Item'!$B:$B, MATCH(F40,'Master_Menu Item'!$A:$A,0))</f>
        <v>Chinese</v>
      </c>
      <c r="M40" s="5" t="str">
        <f t="shared" si="0"/>
        <v>Vedha</v>
      </c>
      <c r="N40" s="5" t="str">
        <f>INDEX(Master_Branch!$C:$C, MATCH(D40,Master_Branch!$A:$A,0))</f>
        <v>Hyderabad</v>
      </c>
      <c r="O40" s="5" t="str">
        <f t="shared" si="1"/>
        <v>Monday</v>
      </c>
      <c r="P40" s="15">
        <f t="shared" si="2"/>
        <v>46082</v>
      </c>
      <c r="Q40" s="5" t="str">
        <f t="shared" si="3"/>
        <v>Fast</v>
      </c>
      <c r="R40" s="9" t="str">
        <f t="shared" si="4"/>
        <v>Needs Improvement</v>
      </c>
    </row>
    <row r="41" spans="1:18">
      <c r="A41" s="5" t="s">
        <v>50</v>
      </c>
      <c r="B41" s="7">
        <v>46091</v>
      </c>
      <c r="C41" s="8">
        <v>0.36458333333333331</v>
      </c>
      <c r="D41" s="5" t="s">
        <v>204</v>
      </c>
      <c r="E41" s="5" t="s">
        <v>211</v>
      </c>
      <c r="F41" s="5" t="s">
        <v>218</v>
      </c>
      <c r="G41" s="5" t="s">
        <v>245</v>
      </c>
      <c r="H41" s="5">
        <v>151</v>
      </c>
      <c r="I41" s="5">
        <v>18</v>
      </c>
      <c r="J41" s="5">
        <v>4</v>
      </c>
      <c r="K41" s="5" t="s">
        <v>382</v>
      </c>
      <c r="L41" s="5" t="str">
        <f>INDEX('Master_Menu Item'!$B:$B, MATCH(F41,'Master_Menu Item'!$A:$A,0))</f>
        <v>Deserts/Bakery</v>
      </c>
      <c r="M41" s="5" t="str">
        <f t="shared" si="0"/>
        <v>Varshith</v>
      </c>
      <c r="N41" s="5" t="str">
        <f>INDEX(Master_Branch!$C:$C, MATCH(D41,Master_Branch!$A:$A,0))</f>
        <v>Hyderabad</v>
      </c>
      <c r="O41" s="5" t="str">
        <f t="shared" si="1"/>
        <v>Tuesday</v>
      </c>
      <c r="P41" s="15">
        <f t="shared" si="2"/>
        <v>46082</v>
      </c>
      <c r="Q41" s="5" t="str">
        <f t="shared" si="3"/>
        <v>Fast</v>
      </c>
      <c r="R41" s="9" t="str">
        <f t="shared" si="4"/>
        <v>Good</v>
      </c>
    </row>
    <row r="42" spans="1:18">
      <c r="A42" s="5" t="s">
        <v>51</v>
      </c>
      <c r="B42" s="10">
        <v>46092</v>
      </c>
      <c r="C42" s="8">
        <v>0.36805555555555558</v>
      </c>
      <c r="D42" s="5" t="s">
        <v>205</v>
      </c>
      <c r="E42" s="5" t="s">
        <v>212</v>
      </c>
      <c r="F42" s="5" t="s">
        <v>214</v>
      </c>
      <c r="G42" s="5" t="s">
        <v>263</v>
      </c>
      <c r="H42" s="5">
        <v>163</v>
      </c>
      <c r="I42" s="5">
        <v>27</v>
      </c>
      <c r="J42" s="5">
        <v>1</v>
      </c>
      <c r="K42" s="5" t="s">
        <v>383</v>
      </c>
      <c r="L42" s="5" t="str">
        <f>INDEX('Master_Menu Item'!$B:$B, MATCH(F42,'Master_Menu Item'!$A:$A,0))</f>
        <v>South Indian</v>
      </c>
      <c r="M42" s="5" t="str">
        <f t="shared" si="0"/>
        <v>Lavanya</v>
      </c>
      <c r="N42" s="5" t="str">
        <f>INDEX(Master_Branch!$C:$C, MATCH(D42,Master_Branch!$A:$A,0))</f>
        <v>Vijaywada</v>
      </c>
      <c r="O42" s="5" t="str">
        <f t="shared" si="1"/>
        <v>Wednesday</v>
      </c>
      <c r="P42" s="15">
        <f t="shared" si="2"/>
        <v>46082</v>
      </c>
      <c r="Q42" s="5" t="str">
        <f t="shared" si="3"/>
        <v>Normal</v>
      </c>
      <c r="R42" s="9" t="str">
        <f t="shared" si="4"/>
        <v>Needs Improvement</v>
      </c>
    </row>
    <row r="43" spans="1:18">
      <c r="A43" s="5" t="s">
        <v>52</v>
      </c>
      <c r="B43" s="7">
        <v>46093</v>
      </c>
      <c r="C43" s="8">
        <v>0.39583333333333331</v>
      </c>
      <c r="D43" s="5" t="s">
        <v>206</v>
      </c>
      <c r="E43" s="5" t="s">
        <v>213</v>
      </c>
      <c r="F43" s="5" t="s">
        <v>409</v>
      </c>
      <c r="G43" s="5" t="s">
        <v>264</v>
      </c>
      <c r="H43" s="5">
        <v>230</v>
      </c>
      <c r="I43" s="5">
        <v>39</v>
      </c>
      <c r="J43" s="5">
        <v>5</v>
      </c>
      <c r="K43" s="5" t="s">
        <v>384</v>
      </c>
      <c r="L43" s="5" t="str">
        <f>INDEX('Master_Menu Item'!$B:$B, MATCH(F43,'Master_Menu Item'!$A:$A,0))</f>
        <v>Fast Food</v>
      </c>
      <c r="M43" s="5" t="str">
        <f t="shared" si="0"/>
        <v>Swathi</v>
      </c>
      <c r="N43" s="5" t="str">
        <f>INDEX(Master_Branch!$C:$C, MATCH(D43,Master_Branch!$A:$A,0))</f>
        <v>Chennai</v>
      </c>
      <c r="O43" s="5" t="str">
        <f t="shared" si="1"/>
        <v>Thursday</v>
      </c>
      <c r="P43" s="15">
        <f t="shared" si="2"/>
        <v>46082</v>
      </c>
      <c r="Q43" s="5" t="str">
        <f t="shared" si="3"/>
        <v>Slow</v>
      </c>
      <c r="R43" s="9" t="str">
        <f t="shared" si="4"/>
        <v>Good</v>
      </c>
    </row>
    <row r="44" spans="1:18">
      <c r="A44" s="5" t="s">
        <v>53</v>
      </c>
      <c r="B44" s="7">
        <v>46094</v>
      </c>
      <c r="C44" s="8">
        <v>0.4375</v>
      </c>
      <c r="D44" s="5" t="s">
        <v>203</v>
      </c>
      <c r="E44" s="5" t="s">
        <v>212</v>
      </c>
      <c r="F44" s="5" t="s">
        <v>226</v>
      </c>
      <c r="G44" s="5" t="s">
        <v>265</v>
      </c>
      <c r="H44" s="5">
        <v>300</v>
      </c>
      <c r="I44" s="5">
        <v>27</v>
      </c>
      <c r="J44" s="5">
        <v>1</v>
      </c>
      <c r="K44" s="5" t="s">
        <v>382</v>
      </c>
      <c r="L44" s="5" t="str">
        <f>INDEX('Master_Menu Item'!$B:$B, MATCH(F44,'Master_Menu Item'!$A:$A,0))</f>
        <v>North Indian</v>
      </c>
      <c r="M44" s="5" t="str">
        <f t="shared" si="0"/>
        <v>Varshini</v>
      </c>
      <c r="N44" s="5" t="str">
        <f>INDEX(Master_Branch!$C:$C, MATCH(D44,Master_Branch!$A:$A,0))</f>
        <v>Bengaluru</v>
      </c>
      <c r="O44" s="5" t="str">
        <f t="shared" si="1"/>
        <v>Friday</v>
      </c>
      <c r="P44" s="15">
        <f t="shared" si="2"/>
        <v>46082</v>
      </c>
      <c r="Q44" s="5" t="str">
        <f t="shared" si="3"/>
        <v>Normal</v>
      </c>
      <c r="R44" s="9" t="str">
        <f t="shared" si="4"/>
        <v>Needs Improvement</v>
      </c>
    </row>
    <row r="45" spans="1:18">
      <c r="A45" s="5" t="s">
        <v>54</v>
      </c>
      <c r="B45" s="10">
        <v>46095</v>
      </c>
      <c r="C45" s="8">
        <v>0.48958333333333331</v>
      </c>
      <c r="D45" s="5" t="s">
        <v>203</v>
      </c>
      <c r="E45" s="5" t="s">
        <v>213</v>
      </c>
      <c r="F45" s="5" t="s">
        <v>227</v>
      </c>
      <c r="G45" s="5" t="s">
        <v>266</v>
      </c>
      <c r="H45" s="5">
        <v>247</v>
      </c>
      <c r="I45" s="5">
        <v>22</v>
      </c>
      <c r="J45" s="5">
        <v>2</v>
      </c>
      <c r="K45" s="5" t="s">
        <v>382</v>
      </c>
      <c r="L45" s="5" t="str">
        <f>INDEX('Master_Menu Item'!$B:$B, MATCH(F45,'Master_Menu Item'!$A:$A,0))</f>
        <v>Chinese</v>
      </c>
      <c r="M45" s="5" t="str">
        <f t="shared" si="0"/>
        <v>Teju</v>
      </c>
      <c r="N45" s="5" t="str">
        <f>INDEX(Master_Branch!$C:$C, MATCH(D45,Master_Branch!$A:$A,0))</f>
        <v>Bengaluru</v>
      </c>
      <c r="O45" s="5" t="str">
        <f t="shared" si="1"/>
        <v>Saturday</v>
      </c>
      <c r="P45" s="15">
        <f t="shared" si="2"/>
        <v>46082</v>
      </c>
      <c r="Q45" s="5" t="str">
        <f t="shared" si="3"/>
        <v>Normal</v>
      </c>
      <c r="R45" s="9" t="str">
        <f t="shared" si="4"/>
        <v>Needs Improvement</v>
      </c>
    </row>
    <row r="46" spans="1:18">
      <c r="A46" s="5" t="s">
        <v>55</v>
      </c>
      <c r="B46" s="7">
        <v>46096</v>
      </c>
      <c r="C46" s="8">
        <v>0.51388888888888884</v>
      </c>
      <c r="D46" s="5" t="s">
        <v>207</v>
      </c>
      <c r="E46" s="5" t="s">
        <v>209</v>
      </c>
      <c r="F46" s="5" t="s">
        <v>218</v>
      </c>
      <c r="G46" s="5" t="s">
        <v>267</v>
      </c>
      <c r="H46" s="5">
        <v>290</v>
      </c>
      <c r="I46" s="5">
        <v>12</v>
      </c>
      <c r="J46" s="5">
        <v>3</v>
      </c>
      <c r="K46" s="5" t="s">
        <v>382</v>
      </c>
      <c r="L46" s="5" t="str">
        <f>INDEX('Master_Menu Item'!$B:$B, MATCH(F46,'Master_Menu Item'!$A:$A,0))</f>
        <v>Deserts/Bakery</v>
      </c>
      <c r="M46" s="5" t="str">
        <f t="shared" si="0"/>
        <v>Harsha</v>
      </c>
      <c r="N46" s="5" t="str">
        <f>INDEX(Master_Branch!$C:$C, MATCH(D46,Master_Branch!$A:$A,0))</f>
        <v>Kochi</v>
      </c>
      <c r="O46" s="5" t="str">
        <f t="shared" si="1"/>
        <v>Sunday</v>
      </c>
      <c r="P46" s="15">
        <f t="shared" si="2"/>
        <v>46082</v>
      </c>
      <c r="Q46" s="5" t="str">
        <f t="shared" si="3"/>
        <v>Fast</v>
      </c>
      <c r="R46" s="9" t="str">
        <f t="shared" si="4"/>
        <v>Needs Improvement</v>
      </c>
    </row>
    <row r="47" spans="1:18">
      <c r="A47" s="5" t="s">
        <v>56</v>
      </c>
      <c r="B47" s="10">
        <v>46097</v>
      </c>
      <c r="C47" s="8">
        <v>0.61111111111111116</v>
      </c>
      <c r="D47" s="5" t="s">
        <v>204</v>
      </c>
      <c r="E47" s="5" t="s">
        <v>210</v>
      </c>
      <c r="F47" s="5" t="s">
        <v>223</v>
      </c>
      <c r="G47" s="5" t="s">
        <v>268</v>
      </c>
      <c r="H47" s="5">
        <v>143</v>
      </c>
      <c r="I47" s="5">
        <v>18</v>
      </c>
      <c r="J47" s="5">
        <v>4</v>
      </c>
      <c r="K47" s="5" t="s">
        <v>383</v>
      </c>
      <c r="L47" s="5" t="str">
        <f>INDEX('Master_Menu Item'!$B:$B, MATCH(F47,'Master_Menu Item'!$A:$A,0))</f>
        <v>South Indian</v>
      </c>
      <c r="M47" s="5" t="str">
        <f t="shared" si="0"/>
        <v>Kailash</v>
      </c>
      <c r="N47" s="5" t="str">
        <f>INDEX(Master_Branch!$C:$C, MATCH(D47,Master_Branch!$A:$A,0))</f>
        <v>Hyderabad</v>
      </c>
      <c r="O47" s="5" t="str">
        <f t="shared" si="1"/>
        <v>Monday</v>
      </c>
      <c r="P47" s="15">
        <f t="shared" si="2"/>
        <v>46082</v>
      </c>
      <c r="Q47" s="5" t="str">
        <f t="shared" si="3"/>
        <v>Fast</v>
      </c>
      <c r="R47" s="9" t="str">
        <f t="shared" si="4"/>
        <v>Good</v>
      </c>
    </row>
    <row r="48" spans="1:18">
      <c r="A48" s="5" t="s">
        <v>57</v>
      </c>
      <c r="B48" s="7">
        <v>46098</v>
      </c>
      <c r="C48" s="8">
        <v>0.65972222222222221</v>
      </c>
      <c r="D48" s="5" t="s">
        <v>205</v>
      </c>
      <c r="E48" s="5" t="s">
        <v>211</v>
      </c>
      <c r="F48" s="5" t="s">
        <v>215</v>
      </c>
      <c r="G48" s="5" t="s">
        <v>269</v>
      </c>
      <c r="H48" s="5">
        <v>279</v>
      </c>
      <c r="I48" s="5">
        <v>28</v>
      </c>
      <c r="J48" s="5">
        <v>1</v>
      </c>
      <c r="K48" s="5" t="s">
        <v>382</v>
      </c>
      <c r="L48" s="5" t="str">
        <f>INDEX('Master_Menu Item'!$B:$B, MATCH(F48,'Master_Menu Item'!$A:$A,0))</f>
        <v>Fast Food</v>
      </c>
      <c r="M48" s="5" t="str">
        <f t="shared" si="0"/>
        <v>Vishnu</v>
      </c>
      <c r="N48" s="5" t="str">
        <f>INDEX(Master_Branch!$C:$C, MATCH(D48,Master_Branch!$A:$A,0))</f>
        <v>Vijaywada</v>
      </c>
      <c r="O48" s="5" t="str">
        <f t="shared" si="1"/>
        <v>Tuesday</v>
      </c>
      <c r="P48" s="15">
        <f t="shared" si="2"/>
        <v>46082</v>
      </c>
      <c r="Q48" s="5" t="str">
        <f t="shared" si="3"/>
        <v>Normal</v>
      </c>
      <c r="R48" s="9" t="str">
        <f t="shared" si="4"/>
        <v>Needs Improvement</v>
      </c>
    </row>
    <row r="49" spans="1:18">
      <c r="A49" s="5" t="s">
        <v>58</v>
      </c>
      <c r="B49" s="7">
        <v>46099</v>
      </c>
      <c r="C49" s="8">
        <v>0.68055555555555558</v>
      </c>
      <c r="D49" s="5" t="s">
        <v>206</v>
      </c>
      <c r="E49" s="5" t="s">
        <v>212</v>
      </c>
      <c r="F49" s="5" t="s">
        <v>216</v>
      </c>
      <c r="G49" s="5" t="s">
        <v>270</v>
      </c>
      <c r="H49" s="5">
        <v>296</v>
      </c>
      <c r="I49" s="5">
        <v>30</v>
      </c>
      <c r="J49" s="5">
        <v>4</v>
      </c>
      <c r="K49" s="5" t="s">
        <v>383</v>
      </c>
      <c r="L49" s="5" t="str">
        <f>INDEX('Master_Menu Item'!$B:$B, MATCH(F49,'Master_Menu Item'!$A:$A,0))</f>
        <v>North Indian</v>
      </c>
      <c r="M49" s="5" t="str">
        <f t="shared" si="0"/>
        <v>Sohel</v>
      </c>
      <c r="N49" s="5" t="str">
        <f>INDEX(Master_Branch!$C:$C, MATCH(D49,Master_Branch!$A:$A,0))</f>
        <v>Chennai</v>
      </c>
      <c r="O49" s="5" t="str">
        <f t="shared" si="1"/>
        <v>Wednesday</v>
      </c>
      <c r="P49" s="15">
        <f t="shared" si="2"/>
        <v>46082</v>
      </c>
      <c r="Q49" s="5" t="str">
        <f t="shared" si="3"/>
        <v>Normal</v>
      </c>
      <c r="R49" s="9" t="str">
        <f t="shared" si="4"/>
        <v>Good</v>
      </c>
    </row>
    <row r="50" spans="1:18">
      <c r="A50" s="5" t="s">
        <v>59</v>
      </c>
      <c r="B50" s="10">
        <v>46100</v>
      </c>
      <c r="C50" s="8">
        <v>0.73611111111111116</v>
      </c>
      <c r="D50" s="5" t="s">
        <v>203</v>
      </c>
      <c r="E50" s="5" t="s">
        <v>213</v>
      </c>
      <c r="F50" s="5" t="s">
        <v>214</v>
      </c>
      <c r="G50" s="5" t="s">
        <v>271</v>
      </c>
      <c r="H50" s="5">
        <v>161</v>
      </c>
      <c r="I50" s="5">
        <v>23</v>
      </c>
      <c r="J50" s="5">
        <v>1</v>
      </c>
      <c r="K50" s="5" t="s">
        <v>384</v>
      </c>
      <c r="L50" s="5" t="str">
        <f>INDEX('Master_Menu Item'!$B:$B, MATCH(F50,'Master_Menu Item'!$A:$A,0))</f>
        <v>South Indian</v>
      </c>
      <c r="M50" s="5" t="str">
        <f t="shared" si="0"/>
        <v>Deepu</v>
      </c>
      <c r="N50" s="5" t="str">
        <f>INDEX(Master_Branch!$C:$C, MATCH(D50,Master_Branch!$A:$A,0))</f>
        <v>Bengaluru</v>
      </c>
      <c r="O50" s="5" t="str">
        <f t="shared" si="1"/>
        <v>Thursday</v>
      </c>
      <c r="P50" s="15">
        <f t="shared" si="2"/>
        <v>46082</v>
      </c>
      <c r="Q50" s="5" t="str">
        <f t="shared" si="3"/>
        <v>Normal</v>
      </c>
      <c r="R50" s="9" t="str">
        <f t="shared" si="4"/>
        <v>Needs Improvement</v>
      </c>
    </row>
    <row r="51" spans="1:18">
      <c r="A51" s="5" t="s">
        <v>60</v>
      </c>
      <c r="B51" s="7">
        <v>46101</v>
      </c>
      <c r="C51" s="8">
        <v>0.77083333333333337</v>
      </c>
      <c r="D51" s="5" t="s">
        <v>203</v>
      </c>
      <c r="E51" s="5" t="s">
        <v>211</v>
      </c>
      <c r="F51" s="5" t="s">
        <v>409</v>
      </c>
      <c r="G51" s="5" t="s">
        <v>272</v>
      </c>
      <c r="H51" s="5">
        <v>287</v>
      </c>
      <c r="I51" s="5">
        <v>15</v>
      </c>
      <c r="J51" s="5">
        <v>5</v>
      </c>
      <c r="K51" s="5" t="s">
        <v>383</v>
      </c>
      <c r="L51" s="5" t="str">
        <f>INDEX('Master_Menu Item'!$B:$B, MATCH(F51,'Master_Menu Item'!$A:$A,0))</f>
        <v>Fast Food</v>
      </c>
      <c r="M51" s="5" t="str">
        <f t="shared" si="0"/>
        <v>Banshitha</v>
      </c>
      <c r="N51" s="5" t="str">
        <f>INDEX(Master_Branch!$C:$C, MATCH(D51,Master_Branch!$A:$A,0))</f>
        <v>Bengaluru</v>
      </c>
      <c r="O51" s="5" t="str">
        <f t="shared" si="1"/>
        <v>Friday</v>
      </c>
      <c r="P51" s="15">
        <f t="shared" si="2"/>
        <v>46082</v>
      </c>
      <c r="Q51" s="5" t="str">
        <f t="shared" si="3"/>
        <v>Fast</v>
      </c>
      <c r="R51" s="9" t="str">
        <f t="shared" si="4"/>
        <v>Good</v>
      </c>
    </row>
    <row r="52" spans="1:18">
      <c r="A52" s="5" t="s">
        <v>61</v>
      </c>
      <c r="B52" s="10">
        <v>46102</v>
      </c>
      <c r="C52" s="8">
        <v>0.82291666666666663</v>
      </c>
      <c r="D52" s="5" t="s">
        <v>206</v>
      </c>
      <c r="E52" s="5" t="s">
        <v>212</v>
      </c>
      <c r="F52" s="5" t="s">
        <v>226</v>
      </c>
      <c r="G52" s="5" t="s">
        <v>273</v>
      </c>
      <c r="H52" s="5">
        <v>196</v>
      </c>
      <c r="I52" s="5">
        <v>12</v>
      </c>
      <c r="J52" s="5">
        <v>2</v>
      </c>
      <c r="K52" s="5" t="s">
        <v>382</v>
      </c>
      <c r="L52" s="5" t="str">
        <f>INDEX('Master_Menu Item'!$B:$B, MATCH(F52,'Master_Menu Item'!$A:$A,0))</f>
        <v>North Indian</v>
      </c>
      <c r="M52" s="5" t="str">
        <f t="shared" si="0"/>
        <v>Nayana</v>
      </c>
      <c r="N52" s="5" t="str">
        <f>INDEX(Master_Branch!$C:$C, MATCH(D52,Master_Branch!$A:$A,0))</f>
        <v>Chennai</v>
      </c>
      <c r="O52" s="5" t="str">
        <f t="shared" si="1"/>
        <v>Saturday</v>
      </c>
      <c r="P52" s="15">
        <f t="shared" si="2"/>
        <v>46082</v>
      </c>
      <c r="Q52" s="5" t="str">
        <f t="shared" si="3"/>
        <v>Fast</v>
      </c>
      <c r="R52" s="9" t="str">
        <f t="shared" si="4"/>
        <v>Needs Improvement</v>
      </c>
    </row>
    <row r="53" spans="1:18">
      <c r="A53" s="5" t="s">
        <v>62</v>
      </c>
      <c r="B53" s="7">
        <v>46103</v>
      </c>
      <c r="C53" s="8">
        <v>0.52083333333333337</v>
      </c>
      <c r="D53" s="5" t="s">
        <v>203</v>
      </c>
      <c r="E53" s="5" t="s">
        <v>213</v>
      </c>
      <c r="F53" s="5" t="s">
        <v>227</v>
      </c>
      <c r="G53" s="5" t="s">
        <v>274</v>
      </c>
      <c r="H53" s="5">
        <v>210</v>
      </c>
      <c r="I53" s="5">
        <v>40</v>
      </c>
      <c r="J53" s="5">
        <v>4</v>
      </c>
      <c r="K53" s="5" t="s">
        <v>383</v>
      </c>
      <c r="L53" s="5" t="str">
        <f>INDEX('Master_Menu Item'!$B:$B, MATCH(F53,'Master_Menu Item'!$A:$A,0))</f>
        <v>Chinese</v>
      </c>
      <c r="M53" s="5" t="str">
        <f t="shared" si="0"/>
        <v>Vanshitha</v>
      </c>
      <c r="N53" s="5" t="str">
        <f>INDEX(Master_Branch!$C:$C, MATCH(D53,Master_Branch!$A:$A,0))</f>
        <v>Bengaluru</v>
      </c>
      <c r="O53" s="5" t="str">
        <f t="shared" si="1"/>
        <v>Sunday</v>
      </c>
      <c r="P53" s="15">
        <f t="shared" si="2"/>
        <v>46082</v>
      </c>
      <c r="Q53" s="5" t="str">
        <f t="shared" si="3"/>
        <v>Slow</v>
      </c>
      <c r="R53" s="9" t="str">
        <f t="shared" si="4"/>
        <v>Good</v>
      </c>
    </row>
    <row r="54" spans="1:18">
      <c r="A54" s="5" t="s">
        <v>63</v>
      </c>
      <c r="B54" s="7">
        <v>46104</v>
      </c>
      <c r="C54" s="8">
        <v>0.84722222222222221</v>
      </c>
      <c r="D54" s="5" t="s">
        <v>203</v>
      </c>
      <c r="E54" s="5" t="s">
        <v>212</v>
      </c>
      <c r="F54" s="5" t="s">
        <v>218</v>
      </c>
      <c r="G54" s="5" t="s">
        <v>275</v>
      </c>
      <c r="H54" s="5">
        <v>267</v>
      </c>
      <c r="I54" s="5">
        <v>25</v>
      </c>
      <c r="J54" s="5">
        <v>2</v>
      </c>
      <c r="K54" s="5" t="s">
        <v>383</v>
      </c>
      <c r="L54" s="5" t="str">
        <f>INDEX('Master_Menu Item'!$B:$B, MATCH(F54,'Master_Menu Item'!$A:$A,0))</f>
        <v>Deserts/Bakery</v>
      </c>
      <c r="M54" s="5" t="str">
        <f t="shared" si="0"/>
        <v>Keerthana</v>
      </c>
      <c r="N54" s="5" t="str">
        <f>INDEX(Master_Branch!$C:$C, MATCH(D54,Master_Branch!$A:$A,0))</f>
        <v>Bengaluru</v>
      </c>
      <c r="O54" s="5" t="str">
        <f t="shared" si="1"/>
        <v>Monday</v>
      </c>
      <c r="P54" s="15">
        <f t="shared" si="2"/>
        <v>46082</v>
      </c>
      <c r="Q54" s="5" t="str">
        <f t="shared" si="3"/>
        <v>Normal</v>
      </c>
      <c r="R54" s="9" t="str">
        <f t="shared" si="4"/>
        <v>Needs Improvement</v>
      </c>
    </row>
    <row r="55" spans="1:18">
      <c r="A55" s="5" t="s">
        <v>64</v>
      </c>
      <c r="B55" s="7">
        <v>46105</v>
      </c>
      <c r="C55" s="8">
        <v>0.88541666666666663</v>
      </c>
      <c r="D55" s="5" t="s">
        <v>207</v>
      </c>
      <c r="E55" s="5" t="s">
        <v>213</v>
      </c>
      <c r="F55" s="5" t="s">
        <v>223</v>
      </c>
      <c r="G55" s="5" t="s">
        <v>276</v>
      </c>
      <c r="H55" s="5">
        <v>130</v>
      </c>
      <c r="I55" s="5">
        <v>32</v>
      </c>
      <c r="J55" s="5">
        <v>3</v>
      </c>
      <c r="K55" s="5" t="s">
        <v>382</v>
      </c>
      <c r="L55" s="5" t="str">
        <f>INDEX('Master_Menu Item'!$B:$B, MATCH(F55,'Master_Menu Item'!$A:$A,0))</f>
        <v>South Indian</v>
      </c>
      <c r="M55" s="5" t="str">
        <f t="shared" si="0"/>
        <v>Sujatha</v>
      </c>
      <c r="N55" s="5" t="str">
        <f>INDEX(Master_Branch!$C:$C, MATCH(D55,Master_Branch!$A:$A,0))</f>
        <v>Kochi</v>
      </c>
      <c r="O55" s="5" t="str">
        <f t="shared" si="1"/>
        <v>Tuesday</v>
      </c>
      <c r="P55" s="15">
        <f t="shared" si="2"/>
        <v>46082</v>
      </c>
      <c r="Q55" s="5" t="str">
        <f t="shared" si="3"/>
        <v>Normal</v>
      </c>
      <c r="R55" s="9" t="str">
        <f t="shared" si="4"/>
        <v>Needs Improvement</v>
      </c>
    </row>
    <row r="56" spans="1:18">
      <c r="A56" s="5" t="s">
        <v>65</v>
      </c>
      <c r="B56" s="10">
        <v>46106</v>
      </c>
      <c r="C56" s="8">
        <v>0.92361111111111116</v>
      </c>
      <c r="D56" s="5" t="s">
        <v>204</v>
      </c>
      <c r="E56" s="5" t="s">
        <v>209</v>
      </c>
      <c r="F56" s="5" t="s">
        <v>215</v>
      </c>
      <c r="G56" s="5" t="s">
        <v>277</v>
      </c>
      <c r="H56" s="5">
        <v>105</v>
      </c>
      <c r="I56" s="5">
        <v>30</v>
      </c>
      <c r="J56" s="5">
        <v>2</v>
      </c>
      <c r="K56" s="5" t="s">
        <v>383</v>
      </c>
      <c r="L56" s="5" t="str">
        <f>INDEX('Master_Menu Item'!$B:$B, MATCH(F56,'Master_Menu Item'!$A:$A,0))</f>
        <v>Fast Food</v>
      </c>
      <c r="M56" s="5" t="str">
        <f t="shared" si="0"/>
        <v>Preethi</v>
      </c>
      <c r="N56" s="5" t="str">
        <f>INDEX(Master_Branch!$C:$C, MATCH(D56,Master_Branch!$A:$A,0))</f>
        <v>Hyderabad</v>
      </c>
      <c r="O56" s="5" t="str">
        <f t="shared" si="1"/>
        <v>Wednesday</v>
      </c>
      <c r="P56" s="15">
        <f t="shared" si="2"/>
        <v>46082</v>
      </c>
      <c r="Q56" s="5" t="str">
        <f t="shared" si="3"/>
        <v>Normal</v>
      </c>
      <c r="R56" s="9" t="str">
        <f t="shared" si="4"/>
        <v>Needs Improvement</v>
      </c>
    </row>
    <row r="57" spans="1:18">
      <c r="A57" s="5" t="s">
        <v>66</v>
      </c>
      <c r="B57" s="7">
        <v>46107</v>
      </c>
      <c r="C57" s="8">
        <v>0.52083333333333337</v>
      </c>
      <c r="D57" s="5" t="s">
        <v>204</v>
      </c>
      <c r="E57" s="5" t="s">
        <v>210</v>
      </c>
      <c r="F57" s="5" t="s">
        <v>216</v>
      </c>
      <c r="G57" s="5" t="s">
        <v>278</v>
      </c>
      <c r="H57" s="5">
        <v>153</v>
      </c>
      <c r="I57" s="5">
        <v>12</v>
      </c>
      <c r="J57" s="5">
        <v>4</v>
      </c>
      <c r="K57" s="5" t="s">
        <v>384</v>
      </c>
      <c r="L57" s="5" t="str">
        <f>INDEX('Master_Menu Item'!$B:$B, MATCH(F57,'Master_Menu Item'!$A:$A,0))</f>
        <v>North Indian</v>
      </c>
      <c r="M57" s="5" t="str">
        <f t="shared" si="0"/>
        <v>Rama</v>
      </c>
      <c r="N57" s="5" t="str">
        <f>INDEX(Master_Branch!$C:$C, MATCH(D57,Master_Branch!$A:$A,0))</f>
        <v>Hyderabad</v>
      </c>
      <c r="O57" s="5" t="str">
        <f t="shared" si="1"/>
        <v>Thursday</v>
      </c>
      <c r="P57" s="15">
        <f t="shared" si="2"/>
        <v>46082</v>
      </c>
      <c r="Q57" s="5" t="str">
        <f t="shared" si="3"/>
        <v>Fast</v>
      </c>
      <c r="R57" s="9" t="str">
        <f t="shared" si="4"/>
        <v>Good</v>
      </c>
    </row>
    <row r="58" spans="1:18">
      <c r="A58" s="5" t="s">
        <v>67</v>
      </c>
      <c r="B58" s="7">
        <v>46108</v>
      </c>
      <c r="C58" s="8">
        <v>0.44791666666666669</v>
      </c>
      <c r="D58" s="5" t="s">
        <v>205</v>
      </c>
      <c r="E58" s="5" t="s">
        <v>211</v>
      </c>
      <c r="F58" s="5" t="s">
        <v>217</v>
      </c>
      <c r="G58" s="5" t="s">
        <v>279</v>
      </c>
      <c r="H58" s="5">
        <v>217</v>
      </c>
      <c r="I58" s="5">
        <v>10</v>
      </c>
      <c r="J58" s="5">
        <v>2</v>
      </c>
      <c r="K58" s="5" t="s">
        <v>383</v>
      </c>
      <c r="L58" s="5" t="str">
        <f>INDEX('Master_Menu Item'!$B:$B, MATCH(F58,'Master_Menu Item'!$A:$A,0))</f>
        <v>Chinese</v>
      </c>
      <c r="M58" s="5" t="str">
        <f t="shared" si="0"/>
        <v>Ramu</v>
      </c>
      <c r="N58" s="5" t="str">
        <f>INDEX(Master_Branch!$C:$C, MATCH(D58,Master_Branch!$A:$A,0))</f>
        <v>Vijaywada</v>
      </c>
      <c r="O58" s="5" t="str">
        <f t="shared" si="1"/>
        <v>Friday</v>
      </c>
      <c r="P58" s="15">
        <f t="shared" si="2"/>
        <v>46082</v>
      </c>
      <c r="Q58" s="5" t="str">
        <f t="shared" si="3"/>
        <v>Fast</v>
      </c>
      <c r="R58" s="9" t="str">
        <f t="shared" si="4"/>
        <v>Needs Improvement</v>
      </c>
    </row>
    <row r="59" spans="1:18">
      <c r="A59" s="5" t="s">
        <v>68</v>
      </c>
      <c r="B59" s="7">
        <v>46109</v>
      </c>
      <c r="C59" s="8">
        <v>0.47916666666666669</v>
      </c>
      <c r="D59" s="5" t="s">
        <v>206</v>
      </c>
      <c r="E59" s="5" t="s">
        <v>209</v>
      </c>
      <c r="F59" s="5" t="s">
        <v>218</v>
      </c>
      <c r="G59" s="5" t="s">
        <v>280</v>
      </c>
      <c r="H59" s="5">
        <v>140</v>
      </c>
      <c r="I59" s="5">
        <v>10</v>
      </c>
      <c r="J59" s="5">
        <v>1</v>
      </c>
      <c r="K59" s="5" t="s">
        <v>383</v>
      </c>
      <c r="L59" s="5" t="str">
        <f>INDEX('Master_Menu Item'!$B:$B, MATCH(F59,'Master_Menu Item'!$A:$A,0))</f>
        <v>Deserts/Bakery</v>
      </c>
      <c r="M59" s="5" t="str">
        <f t="shared" si="0"/>
        <v>Priya</v>
      </c>
      <c r="N59" s="5" t="str">
        <f>INDEX(Master_Branch!$C:$C, MATCH(D59,Master_Branch!$A:$A,0))</f>
        <v>Chennai</v>
      </c>
      <c r="O59" s="5" t="str">
        <f t="shared" si="1"/>
        <v>Saturday</v>
      </c>
      <c r="P59" s="15">
        <f t="shared" si="2"/>
        <v>46082</v>
      </c>
      <c r="Q59" s="5" t="str">
        <f t="shared" si="3"/>
        <v>Fast</v>
      </c>
      <c r="R59" s="9" t="str">
        <f t="shared" si="4"/>
        <v>Needs Improvement</v>
      </c>
    </row>
    <row r="60" spans="1:18">
      <c r="A60" s="5" t="s">
        <v>69</v>
      </c>
      <c r="B60" s="7">
        <v>46110</v>
      </c>
      <c r="C60" s="8">
        <v>0.5</v>
      </c>
      <c r="D60" s="5" t="s">
        <v>203</v>
      </c>
      <c r="E60" s="5" t="s">
        <v>211</v>
      </c>
      <c r="F60" s="5" t="s">
        <v>214</v>
      </c>
      <c r="G60" s="5" t="s">
        <v>281</v>
      </c>
      <c r="H60" s="5">
        <v>283</v>
      </c>
      <c r="I60" s="5">
        <v>20</v>
      </c>
      <c r="J60" s="5">
        <v>4</v>
      </c>
      <c r="K60" s="5" t="s">
        <v>384</v>
      </c>
      <c r="L60" s="5" t="str">
        <f>INDEX('Master_Menu Item'!$B:$B, MATCH(F60,'Master_Menu Item'!$A:$A,0))</f>
        <v>South Indian</v>
      </c>
      <c r="M60" s="5" t="str">
        <f t="shared" si="0"/>
        <v>Rishi</v>
      </c>
      <c r="N60" s="5" t="str">
        <f>INDEX(Master_Branch!$C:$C, MATCH(D60,Master_Branch!$A:$A,0))</f>
        <v>Bengaluru</v>
      </c>
      <c r="O60" s="5" t="str">
        <f t="shared" si="1"/>
        <v>Sunday</v>
      </c>
      <c r="P60" s="15">
        <f t="shared" si="2"/>
        <v>46082</v>
      </c>
      <c r="Q60" s="5" t="str">
        <f t="shared" si="3"/>
        <v>Fast</v>
      </c>
      <c r="R60" s="9" t="str">
        <f t="shared" si="4"/>
        <v>Good</v>
      </c>
    </row>
    <row r="61" spans="1:18">
      <c r="A61" s="5" t="s">
        <v>70</v>
      </c>
      <c r="B61" s="10">
        <v>46111</v>
      </c>
      <c r="C61" s="8">
        <v>0.59722222222222221</v>
      </c>
      <c r="D61" s="5" t="s">
        <v>203</v>
      </c>
      <c r="E61" s="5" t="s">
        <v>213</v>
      </c>
      <c r="F61" s="5" t="s">
        <v>409</v>
      </c>
      <c r="G61" s="5" t="s">
        <v>282</v>
      </c>
      <c r="H61" s="5">
        <v>213</v>
      </c>
      <c r="I61" s="5">
        <v>20</v>
      </c>
      <c r="J61" s="5">
        <v>2</v>
      </c>
      <c r="K61" s="5" t="s">
        <v>382</v>
      </c>
      <c r="L61" s="5" t="str">
        <f>INDEX('Master_Menu Item'!$B:$B, MATCH(F61,'Master_Menu Item'!$A:$A,0))</f>
        <v>Fast Food</v>
      </c>
      <c r="M61" s="5" t="str">
        <f t="shared" si="0"/>
        <v>Naresh</v>
      </c>
      <c r="N61" s="5" t="str">
        <f>INDEX(Master_Branch!$C:$C, MATCH(D61,Master_Branch!$A:$A,0))</f>
        <v>Bengaluru</v>
      </c>
      <c r="O61" s="5" t="str">
        <f t="shared" si="1"/>
        <v>Monday</v>
      </c>
      <c r="P61" s="15">
        <f t="shared" si="2"/>
        <v>46082</v>
      </c>
      <c r="Q61" s="5" t="str">
        <f t="shared" si="3"/>
        <v>Fast</v>
      </c>
      <c r="R61" s="9" t="str">
        <f t="shared" si="4"/>
        <v>Needs Improvement</v>
      </c>
    </row>
    <row r="62" spans="1:18">
      <c r="A62" s="5" t="s">
        <v>71</v>
      </c>
      <c r="B62" s="7">
        <v>46112</v>
      </c>
      <c r="C62" s="8">
        <v>0.64513888888888893</v>
      </c>
      <c r="D62" s="5" t="s">
        <v>207</v>
      </c>
      <c r="E62" s="5" t="s">
        <v>212</v>
      </c>
      <c r="F62" s="5" t="s">
        <v>226</v>
      </c>
      <c r="G62" s="5" t="s">
        <v>283</v>
      </c>
      <c r="H62" s="5">
        <v>252</v>
      </c>
      <c r="I62" s="5">
        <v>20</v>
      </c>
      <c r="J62" s="5">
        <v>4</v>
      </c>
      <c r="K62" s="5" t="s">
        <v>383</v>
      </c>
      <c r="L62" s="5" t="str">
        <f>INDEX('Master_Menu Item'!$B:$B, MATCH(F62,'Master_Menu Item'!$A:$A,0))</f>
        <v>North Indian</v>
      </c>
      <c r="M62" s="5" t="str">
        <f t="shared" si="0"/>
        <v>Prem</v>
      </c>
      <c r="N62" s="5" t="str">
        <f>INDEX(Master_Branch!$C:$C, MATCH(D62,Master_Branch!$A:$A,0))</f>
        <v>Kochi</v>
      </c>
      <c r="O62" s="5" t="str">
        <f t="shared" si="1"/>
        <v>Tuesday</v>
      </c>
      <c r="P62" s="15">
        <f t="shared" si="2"/>
        <v>46082</v>
      </c>
      <c r="Q62" s="5" t="str">
        <f t="shared" si="3"/>
        <v>Fast</v>
      </c>
      <c r="R62" s="9" t="str">
        <f t="shared" si="4"/>
        <v>Good</v>
      </c>
    </row>
    <row r="63" spans="1:18">
      <c r="A63" s="5" t="s">
        <v>72</v>
      </c>
      <c r="B63" s="7">
        <v>46113</v>
      </c>
      <c r="C63" s="8">
        <v>0.62638888888888888</v>
      </c>
      <c r="D63" s="5" t="s">
        <v>204</v>
      </c>
      <c r="E63" s="5" t="s">
        <v>210</v>
      </c>
      <c r="F63" s="5" t="s">
        <v>227</v>
      </c>
      <c r="G63" s="5" t="s">
        <v>284</v>
      </c>
      <c r="H63" s="5">
        <v>218</v>
      </c>
      <c r="I63" s="5">
        <v>30</v>
      </c>
      <c r="J63" s="5">
        <v>3</v>
      </c>
      <c r="K63" s="5" t="s">
        <v>384</v>
      </c>
      <c r="L63" s="5" t="str">
        <f>INDEX('Master_Menu Item'!$B:$B, MATCH(F63,'Master_Menu Item'!$A:$A,0))</f>
        <v>Chinese</v>
      </c>
      <c r="M63" s="5" t="str">
        <f t="shared" si="0"/>
        <v>Sailesh</v>
      </c>
      <c r="N63" s="5" t="str">
        <f>INDEX(Master_Branch!$C:$C, MATCH(D63,Master_Branch!$A:$A,0))</f>
        <v>Hyderabad</v>
      </c>
      <c r="O63" s="5" t="str">
        <f t="shared" si="1"/>
        <v>Wednesday</v>
      </c>
      <c r="P63" s="15">
        <f t="shared" si="2"/>
        <v>46113</v>
      </c>
      <c r="Q63" s="5" t="str">
        <f t="shared" si="3"/>
        <v>Normal</v>
      </c>
      <c r="R63" s="9" t="str">
        <f t="shared" si="4"/>
        <v>Needs Improvement</v>
      </c>
    </row>
    <row r="64" spans="1:18">
      <c r="A64" s="5" t="s">
        <v>73</v>
      </c>
      <c r="B64" s="10">
        <v>46114</v>
      </c>
      <c r="C64" s="8">
        <v>0.52500000000000002</v>
      </c>
      <c r="D64" s="5" t="s">
        <v>205</v>
      </c>
      <c r="E64" s="5" t="s">
        <v>210</v>
      </c>
      <c r="F64" s="5" t="s">
        <v>218</v>
      </c>
      <c r="G64" s="5" t="s">
        <v>285</v>
      </c>
      <c r="H64" s="5">
        <v>151</v>
      </c>
      <c r="I64" s="5">
        <v>20</v>
      </c>
      <c r="J64" s="5">
        <v>4</v>
      </c>
      <c r="K64" s="5" t="s">
        <v>383</v>
      </c>
      <c r="L64" s="5" t="str">
        <f>INDEX('Master_Menu Item'!$B:$B, MATCH(F64,'Master_Menu Item'!$A:$A,0))</f>
        <v>Deserts/Bakery</v>
      </c>
      <c r="M64" s="5" t="str">
        <f t="shared" si="0"/>
        <v>Rajesh</v>
      </c>
      <c r="N64" s="5" t="str">
        <f>INDEX(Master_Branch!$C:$C, MATCH(D64,Master_Branch!$A:$A,0))</f>
        <v>Vijaywada</v>
      </c>
      <c r="O64" s="5" t="str">
        <f t="shared" si="1"/>
        <v>Thursday</v>
      </c>
      <c r="P64" s="15">
        <f t="shared" si="2"/>
        <v>46113</v>
      </c>
      <c r="Q64" s="5" t="str">
        <f t="shared" si="3"/>
        <v>Fast</v>
      </c>
      <c r="R64" s="9" t="str">
        <f t="shared" si="4"/>
        <v>Good</v>
      </c>
    </row>
    <row r="65" spans="1:18">
      <c r="A65" s="5" t="s">
        <v>74</v>
      </c>
      <c r="B65" s="7">
        <v>46115</v>
      </c>
      <c r="C65" s="8">
        <v>0.6694444444444444</v>
      </c>
      <c r="D65" s="5" t="s">
        <v>206</v>
      </c>
      <c r="E65" s="5" t="s">
        <v>211</v>
      </c>
      <c r="F65" s="5" t="s">
        <v>223</v>
      </c>
      <c r="G65" s="5" t="s">
        <v>286</v>
      </c>
      <c r="H65" s="5">
        <v>215</v>
      </c>
      <c r="I65" s="5">
        <v>34</v>
      </c>
      <c r="J65" s="5">
        <v>2</v>
      </c>
      <c r="K65" s="5" t="s">
        <v>383</v>
      </c>
      <c r="L65" s="5" t="str">
        <f>INDEX('Master_Menu Item'!$B:$B, MATCH(F65,'Master_Menu Item'!$A:$A,0))</f>
        <v>South Indian</v>
      </c>
      <c r="M65" s="5" t="str">
        <f t="shared" si="0"/>
        <v>Ramesh</v>
      </c>
      <c r="N65" s="5" t="str">
        <f>INDEX(Master_Branch!$C:$C, MATCH(D65,Master_Branch!$A:$A,0))</f>
        <v>Chennai</v>
      </c>
      <c r="O65" s="5" t="str">
        <f t="shared" si="1"/>
        <v>Friday</v>
      </c>
      <c r="P65" s="15">
        <f t="shared" si="2"/>
        <v>46113</v>
      </c>
      <c r="Q65" s="5" t="str">
        <f t="shared" si="3"/>
        <v>Normal</v>
      </c>
      <c r="R65" s="9" t="str">
        <f t="shared" si="4"/>
        <v>Needs Improvement</v>
      </c>
    </row>
    <row r="66" spans="1:18">
      <c r="A66" s="5" t="s">
        <v>75</v>
      </c>
      <c r="B66" s="7">
        <v>46116</v>
      </c>
      <c r="C66" s="8">
        <v>0.67361111111111116</v>
      </c>
      <c r="D66" s="5" t="s">
        <v>203</v>
      </c>
      <c r="E66" s="5" t="s">
        <v>212</v>
      </c>
      <c r="F66" s="5" t="s">
        <v>215</v>
      </c>
      <c r="G66" s="5" t="s">
        <v>287</v>
      </c>
      <c r="H66" s="5">
        <v>227</v>
      </c>
      <c r="I66" s="5">
        <v>36</v>
      </c>
      <c r="J66" s="5">
        <v>5</v>
      </c>
      <c r="K66" s="5" t="s">
        <v>383</v>
      </c>
      <c r="L66" s="5" t="str">
        <f>INDEX('Master_Menu Item'!$B:$B, MATCH(F66,'Master_Menu Item'!$A:$A,0))</f>
        <v>Fast Food</v>
      </c>
      <c r="M66" s="5" t="str">
        <f t="shared" si="0"/>
        <v>Surya</v>
      </c>
      <c r="N66" s="5" t="str">
        <f>INDEX(Master_Branch!$C:$C, MATCH(D66,Master_Branch!$A:$A,0))</f>
        <v>Bengaluru</v>
      </c>
      <c r="O66" s="5" t="str">
        <f t="shared" si="1"/>
        <v>Saturday</v>
      </c>
      <c r="P66" s="15">
        <f t="shared" si="2"/>
        <v>46113</v>
      </c>
      <c r="Q66" s="5" t="str">
        <f t="shared" si="3"/>
        <v>Slow</v>
      </c>
      <c r="R66" s="9" t="str">
        <f t="shared" si="4"/>
        <v>Good</v>
      </c>
    </row>
    <row r="67" spans="1:18">
      <c r="A67" s="5" t="s">
        <v>76</v>
      </c>
      <c r="B67" s="10">
        <v>46117</v>
      </c>
      <c r="C67" s="8">
        <v>0.69791666666666663</v>
      </c>
      <c r="D67" s="5" t="s">
        <v>203</v>
      </c>
      <c r="E67" s="5" t="s">
        <v>213</v>
      </c>
      <c r="F67" s="5" t="s">
        <v>216</v>
      </c>
      <c r="G67" s="5" t="s">
        <v>288</v>
      </c>
      <c r="H67" s="5">
        <v>145</v>
      </c>
      <c r="I67" s="5">
        <v>26</v>
      </c>
      <c r="J67" s="5">
        <v>5</v>
      </c>
      <c r="K67" s="5" t="s">
        <v>384</v>
      </c>
      <c r="L67" s="5" t="str">
        <f>INDEX('Master_Menu Item'!$B:$B, MATCH(F67,'Master_Menu Item'!$A:$A,0))</f>
        <v>North Indian</v>
      </c>
      <c r="M67" s="5" t="str">
        <f t="shared" ref="M67:M130" si="5">PROPER(TRIM(G67))</f>
        <v>Pavithra</v>
      </c>
      <c r="N67" s="5" t="str">
        <f>INDEX(Master_Branch!$C:$C, MATCH(D67,Master_Branch!$A:$A,0))</f>
        <v>Bengaluru</v>
      </c>
      <c r="O67" s="5" t="str">
        <f t="shared" ref="O67:O130" si="6">TEXT(B67,"dddd")</f>
        <v>Sunday</v>
      </c>
      <c r="P67" s="15">
        <f t="shared" ref="P67:P130" si="7">DATE(YEAR(B67),MONTH(B67),1)</f>
        <v>46113</v>
      </c>
      <c r="Q67" s="5" t="str">
        <f t="shared" ref="Q67:Q130" si="8">_xlfn.IFS(I67&lt;=20,"Fast", I67&lt;=35,"Normal", I67&gt;35,"Slow")</f>
        <v>Normal</v>
      </c>
      <c r="R67" s="9" t="str">
        <f t="shared" ref="R67:R130" si="9">IF(J67&gt;=4,"Good","Needs Improvement")</f>
        <v>Good</v>
      </c>
    </row>
    <row r="68" spans="1:18">
      <c r="A68" s="5" t="s">
        <v>77</v>
      </c>
      <c r="B68" s="10">
        <v>46118</v>
      </c>
      <c r="C68" s="8">
        <v>0.77083333333333337</v>
      </c>
      <c r="D68" s="5" t="s">
        <v>205</v>
      </c>
      <c r="E68" s="5" t="s">
        <v>209</v>
      </c>
      <c r="F68" s="5" t="s">
        <v>214</v>
      </c>
      <c r="G68" s="5" t="s">
        <v>289</v>
      </c>
      <c r="H68" s="5">
        <v>253</v>
      </c>
      <c r="I68" s="5">
        <v>18</v>
      </c>
      <c r="J68" s="5">
        <v>5</v>
      </c>
      <c r="K68" s="5" t="s">
        <v>382</v>
      </c>
      <c r="L68" s="5" t="str">
        <f>INDEX('Master_Menu Item'!$B:$B, MATCH(F68,'Master_Menu Item'!$A:$A,0))</f>
        <v>South Indian</v>
      </c>
      <c r="M68" s="5" t="str">
        <f t="shared" si="5"/>
        <v>Varshu</v>
      </c>
      <c r="N68" s="5" t="str">
        <f>INDEX(Master_Branch!$C:$C, MATCH(D68,Master_Branch!$A:$A,0))</f>
        <v>Vijaywada</v>
      </c>
      <c r="O68" s="5" t="str">
        <f t="shared" si="6"/>
        <v>Monday</v>
      </c>
      <c r="P68" s="15">
        <f t="shared" si="7"/>
        <v>46113</v>
      </c>
      <c r="Q68" s="5" t="str">
        <f t="shared" si="8"/>
        <v>Fast</v>
      </c>
      <c r="R68" s="9" t="str">
        <f t="shared" si="9"/>
        <v>Good</v>
      </c>
    </row>
    <row r="69" spans="1:18">
      <c r="A69" s="5" t="s">
        <v>78</v>
      </c>
      <c r="B69" s="10">
        <v>46119</v>
      </c>
      <c r="C69" s="8">
        <v>0.56944444444444442</v>
      </c>
      <c r="D69" s="5" t="s">
        <v>206</v>
      </c>
      <c r="E69" s="5" t="s">
        <v>210</v>
      </c>
      <c r="F69" s="5" t="s">
        <v>409</v>
      </c>
      <c r="G69" s="5" t="s">
        <v>290</v>
      </c>
      <c r="H69" s="5">
        <v>243</v>
      </c>
      <c r="I69" s="5">
        <v>29</v>
      </c>
      <c r="J69" s="5">
        <v>2</v>
      </c>
      <c r="K69" s="5" t="s">
        <v>382</v>
      </c>
      <c r="L69" s="5" t="str">
        <f>INDEX('Master_Menu Item'!$B:$B, MATCH(F69,'Master_Menu Item'!$A:$A,0))</f>
        <v>Fast Food</v>
      </c>
      <c r="M69" s="5" t="str">
        <f t="shared" si="5"/>
        <v>Keerthi</v>
      </c>
      <c r="N69" s="5" t="str">
        <f>INDEX(Master_Branch!$C:$C, MATCH(D69,Master_Branch!$A:$A,0))</f>
        <v>Chennai</v>
      </c>
      <c r="O69" s="5" t="str">
        <f t="shared" si="6"/>
        <v>Tuesday</v>
      </c>
      <c r="P69" s="15">
        <f t="shared" si="7"/>
        <v>46113</v>
      </c>
      <c r="Q69" s="5" t="str">
        <f t="shared" si="8"/>
        <v>Normal</v>
      </c>
      <c r="R69" s="9" t="str">
        <f t="shared" si="9"/>
        <v>Needs Improvement</v>
      </c>
    </row>
    <row r="70" spans="1:18">
      <c r="A70" s="5" t="s">
        <v>79</v>
      </c>
      <c r="B70" s="7">
        <v>46120</v>
      </c>
      <c r="C70" s="8">
        <v>0.52083333333333337</v>
      </c>
      <c r="D70" s="5" t="s">
        <v>203</v>
      </c>
      <c r="E70" s="5" t="s">
        <v>211</v>
      </c>
      <c r="F70" s="5" t="s">
        <v>226</v>
      </c>
      <c r="G70" s="5" t="s">
        <v>291</v>
      </c>
      <c r="H70" s="5">
        <v>273</v>
      </c>
      <c r="I70" s="5">
        <v>31</v>
      </c>
      <c r="J70" s="5">
        <v>3</v>
      </c>
      <c r="K70" s="5" t="s">
        <v>383</v>
      </c>
      <c r="L70" s="5" t="str">
        <f>INDEX('Master_Menu Item'!$B:$B, MATCH(F70,'Master_Menu Item'!$A:$A,0))</f>
        <v>North Indian</v>
      </c>
      <c r="M70" s="5" t="str">
        <f t="shared" si="5"/>
        <v>Jahnavi</v>
      </c>
      <c r="N70" s="5" t="str">
        <f>INDEX(Master_Branch!$C:$C, MATCH(D70,Master_Branch!$A:$A,0))</f>
        <v>Bengaluru</v>
      </c>
      <c r="O70" s="5" t="str">
        <f t="shared" si="6"/>
        <v>Wednesday</v>
      </c>
      <c r="P70" s="15">
        <f t="shared" si="7"/>
        <v>46113</v>
      </c>
      <c r="Q70" s="5" t="str">
        <f t="shared" si="8"/>
        <v>Normal</v>
      </c>
      <c r="R70" s="9" t="str">
        <f t="shared" si="9"/>
        <v>Needs Improvement</v>
      </c>
    </row>
    <row r="71" spans="1:18">
      <c r="A71" s="5" t="s">
        <v>80</v>
      </c>
      <c r="B71" s="7">
        <v>46121</v>
      </c>
      <c r="C71" s="8">
        <v>0.60416666666666663</v>
      </c>
      <c r="D71" s="5" t="s">
        <v>203</v>
      </c>
      <c r="E71" s="5" t="s">
        <v>212</v>
      </c>
      <c r="F71" s="5" t="s">
        <v>227</v>
      </c>
      <c r="G71" s="5" t="s">
        <v>292</v>
      </c>
      <c r="H71" s="5">
        <v>208</v>
      </c>
      <c r="I71" s="5">
        <v>36</v>
      </c>
      <c r="J71" s="5">
        <v>4</v>
      </c>
      <c r="K71" s="5" t="s">
        <v>384</v>
      </c>
      <c r="L71" s="5" t="str">
        <f>INDEX('Master_Menu Item'!$B:$B, MATCH(F71,'Master_Menu Item'!$A:$A,0))</f>
        <v>Chinese</v>
      </c>
      <c r="M71" s="5" t="str">
        <f t="shared" si="5"/>
        <v>Jersey</v>
      </c>
      <c r="N71" s="5" t="str">
        <f>INDEX(Master_Branch!$C:$C, MATCH(D71,Master_Branch!$A:$A,0))</f>
        <v>Bengaluru</v>
      </c>
      <c r="O71" s="5" t="str">
        <f t="shared" si="6"/>
        <v>Thursday</v>
      </c>
      <c r="P71" s="15">
        <f t="shared" si="7"/>
        <v>46113</v>
      </c>
      <c r="Q71" s="5" t="str">
        <f t="shared" si="8"/>
        <v>Slow</v>
      </c>
      <c r="R71" s="9" t="str">
        <f t="shared" si="9"/>
        <v>Good</v>
      </c>
    </row>
    <row r="72" spans="1:18">
      <c r="A72" s="5" t="s">
        <v>81</v>
      </c>
      <c r="B72" s="7">
        <v>46122</v>
      </c>
      <c r="C72" s="8">
        <v>0.47916666666666669</v>
      </c>
      <c r="D72" s="5" t="s">
        <v>207</v>
      </c>
      <c r="E72" s="5" t="s">
        <v>213</v>
      </c>
      <c r="F72" s="5" t="s">
        <v>218</v>
      </c>
      <c r="G72" s="5" t="s">
        <v>293</v>
      </c>
      <c r="H72" s="5">
        <v>290</v>
      </c>
      <c r="I72" s="5">
        <v>39</v>
      </c>
      <c r="J72" s="5">
        <v>3</v>
      </c>
      <c r="K72" s="5" t="s">
        <v>383</v>
      </c>
      <c r="L72" s="5" t="str">
        <f>INDEX('Master_Menu Item'!$B:$B, MATCH(F72,'Master_Menu Item'!$A:$A,0))</f>
        <v>Deserts/Bakery</v>
      </c>
      <c r="M72" s="5" t="str">
        <f t="shared" si="5"/>
        <v>Shahin</v>
      </c>
      <c r="N72" s="5" t="str">
        <f>INDEX(Master_Branch!$C:$C, MATCH(D72,Master_Branch!$A:$A,0))</f>
        <v>Kochi</v>
      </c>
      <c r="O72" s="5" t="str">
        <f t="shared" si="6"/>
        <v>Friday</v>
      </c>
      <c r="P72" s="15">
        <f t="shared" si="7"/>
        <v>46113</v>
      </c>
      <c r="Q72" s="5" t="str">
        <f t="shared" si="8"/>
        <v>Slow</v>
      </c>
      <c r="R72" s="9" t="str">
        <f t="shared" si="9"/>
        <v>Needs Improvement</v>
      </c>
    </row>
    <row r="73" spans="1:18">
      <c r="A73" s="5" t="s">
        <v>82</v>
      </c>
      <c r="B73" s="7">
        <v>46123</v>
      </c>
      <c r="C73" s="8">
        <v>0.53125</v>
      </c>
      <c r="D73" s="5" t="s">
        <v>204</v>
      </c>
      <c r="E73" s="5" t="s">
        <v>212</v>
      </c>
      <c r="F73" s="5" t="s">
        <v>223</v>
      </c>
      <c r="G73" s="5" t="s">
        <v>294</v>
      </c>
      <c r="H73" s="5">
        <v>107</v>
      </c>
      <c r="I73" s="5">
        <v>42</v>
      </c>
      <c r="J73" s="5">
        <v>1</v>
      </c>
      <c r="K73" s="5" t="s">
        <v>382</v>
      </c>
      <c r="L73" s="5" t="str">
        <f>INDEX('Master_Menu Item'!$B:$B, MATCH(F73,'Master_Menu Item'!$A:$A,0))</f>
        <v>South Indian</v>
      </c>
      <c r="M73" s="5" t="str">
        <f t="shared" si="5"/>
        <v>Shalini</v>
      </c>
      <c r="N73" s="5" t="str">
        <f>INDEX(Master_Branch!$C:$C, MATCH(D73,Master_Branch!$A:$A,0))</f>
        <v>Hyderabad</v>
      </c>
      <c r="O73" s="5" t="str">
        <f t="shared" si="6"/>
        <v>Saturday</v>
      </c>
      <c r="P73" s="15">
        <f t="shared" si="7"/>
        <v>46113</v>
      </c>
      <c r="Q73" s="5" t="str">
        <f t="shared" si="8"/>
        <v>Slow</v>
      </c>
      <c r="R73" s="9" t="str">
        <f t="shared" si="9"/>
        <v>Needs Improvement</v>
      </c>
    </row>
    <row r="74" spans="1:18">
      <c r="A74" s="5" t="s">
        <v>83</v>
      </c>
      <c r="B74" s="7">
        <v>46124</v>
      </c>
      <c r="C74" s="8">
        <v>0.35416666666666669</v>
      </c>
      <c r="D74" s="5" t="s">
        <v>203</v>
      </c>
      <c r="E74" s="5" t="s">
        <v>213</v>
      </c>
      <c r="F74" s="5" t="s">
        <v>215</v>
      </c>
      <c r="G74" s="5" t="s">
        <v>295</v>
      </c>
      <c r="H74" s="5">
        <v>111</v>
      </c>
      <c r="I74" s="5">
        <v>14</v>
      </c>
      <c r="J74" s="5">
        <v>2</v>
      </c>
      <c r="K74" s="5" t="s">
        <v>382</v>
      </c>
      <c r="L74" s="5" t="str">
        <f>INDEX('Master_Menu Item'!$B:$B, MATCH(F74,'Master_Menu Item'!$A:$A,0))</f>
        <v>Fast Food</v>
      </c>
      <c r="M74" s="5" t="str">
        <f t="shared" si="5"/>
        <v>Aman</v>
      </c>
      <c r="N74" s="5" t="str">
        <f>INDEX(Master_Branch!$C:$C, MATCH(D74,Master_Branch!$A:$A,0))</f>
        <v>Bengaluru</v>
      </c>
      <c r="O74" s="5" t="str">
        <f t="shared" si="6"/>
        <v>Sunday</v>
      </c>
      <c r="P74" s="15">
        <f t="shared" si="7"/>
        <v>46113</v>
      </c>
      <c r="Q74" s="5" t="str">
        <f t="shared" si="8"/>
        <v>Fast</v>
      </c>
      <c r="R74" s="9" t="str">
        <f t="shared" si="9"/>
        <v>Needs Improvement</v>
      </c>
    </row>
    <row r="75" spans="1:18">
      <c r="A75" s="5" t="s">
        <v>84</v>
      </c>
      <c r="B75" s="10">
        <v>46125</v>
      </c>
      <c r="C75" s="8">
        <v>0.40625</v>
      </c>
      <c r="D75" s="5" t="s">
        <v>203</v>
      </c>
      <c r="E75" s="5" t="s">
        <v>209</v>
      </c>
      <c r="F75" s="5" t="s">
        <v>216</v>
      </c>
      <c r="G75" s="5" t="s">
        <v>296</v>
      </c>
      <c r="H75" s="5">
        <v>111</v>
      </c>
      <c r="I75" s="5">
        <v>16</v>
      </c>
      <c r="J75" s="5">
        <v>4</v>
      </c>
      <c r="K75" s="5" t="s">
        <v>382</v>
      </c>
      <c r="L75" s="5" t="str">
        <f>INDEX('Master_Menu Item'!$B:$B, MATCH(F75,'Master_Menu Item'!$A:$A,0))</f>
        <v>North Indian</v>
      </c>
      <c r="M75" s="5" t="str">
        <f t="shared" si="5"/>
        <v>Karthik</v>
      </c>
      <c r="N75" s="5" t="str">
        <f>INDEX(Master_Branch!$C:$C, MATCH(D75,Master_Branch!$A:$A,0))</f>
        <v>Bengaluru</v>
      </c>
      <c r="O75" s="5" t="str">
        <f t="shared" si="6"/>
        <v>Monday</v>
      </c>
      <c r="P75" s="15">
        <f t="shared" si="7"/>
        <v>46113</v>
      </c>
      <c r="Q75" s="5" t="str">
        <f t="shared" si="8"/>
        <v>Fast</v>
      </c>
      <c r="R75" s="9" t="str">
        <f t="shared" si="9"/>
        <v>Good</v>
      </c>
    </row>
    <row r="76" spans="1:18">
      <c r="A76" s="5" t="s">
        <v>85</v>
      </c>
      <c r="B76" s="7">
        <v>46126</v>
      </c>
      <c r="C76" s="8">
        <v>0.4375</v>
      </c>
      <c r="D76" s="5" t="s">
        <v>207</v>
      </c>
      <c r="E76" s="5" t="s">
        <v>210</v>
      </c>
      <c r="F76" s="5" t="s">
        <v>218</v>
      </c>
      <c r="G76" s="5" t="s">
        <v>297</v>
      </c>
      <c r="H76" s="5">
        <v>180</v>
      </c>
      <c r="I76" s="5">
        <v>27</v>
      </c>
      <c r="J76" s="5">
        <v>3</v>
      </c>
      <c r="K76" s="5" t="s">
        <v>383</v>
      </c>
      <c r="L76" s="5" t="str">
        <f>INDEX('Master_Menu Item'!$B:$B, MATCH(F76,'Master_Menu Item'!$A:$A,0))</f>
        <v>Deserts/Bakery</v>
      </c>
      <c r="M76" s="5" t="str">
        <f t="shared" si="5"/>
        <v>Karuna</v>
      </c>
      <c r="N76" s="5" t="str">
        <f>INDEX(Master_Branch!$C:$C, MATCH(D76,Master_Branch!$A:$A,0))</f>
        <v>Kochi</v>
      </c>
      <c r="O76" s="5" t="str">
        <f t="shared" si="6"/>
        <v>Tuesday</v>
      </c>
      <c r="P76" s="15">
        <f t="shared" si="7"/>
        <v>46113</v>
      </c>
      <c r="Q76" s="5" t="str">
        <f t="shared" si="8"/>
        <v>Normal</v>
      </c>
      <c r="R76" s="9" t="str">
        <f t="shared" si="9"/>
        <v>Needs Improvement</v>
      </c>
    </row>
    <row r="77" spans="1:18">
      <c r="A77" s="5" t="s">
        <v>86</v>
      </c>
      <c r="B77" s="7">
        <v>46127</v>
      </c>
      <c r="C77" s="8">
        <v>0.52083333333333337</v>
      </c>
      <c r="D77" s="5" t="s">
        <v>204</v>
      </c>
      <c r="E77" s="5" t="s">
        <v>211</v>
      </c>
      <c r="F77" s="5" t="s">
        <v>214</v>
      </c>
      <c r="G77" s="5" t="s">
        <v>298</v>
      </c>
      <c r="H77" s="5">
        <v>224</v>
      </c>
      <c r="I77" s="5">
        <v>18</v>
      </c>
      <c r="J77" s="5">
        <v>2</v>
      </c>
      <c r="K77" s="5" t="s">
        <v>382</v>
      </c>
      <c r="L77" s="5" t="str">
        <f>INDEX('Master_Menu Item'!$B:$B, MATCH(F77,'Master_Menu Item'!$A:$A,0))</f>
        <v>South Indian</v>
      </c>
      <c r="M77" s="5" t="str">
        <f t="shared" si="5"/>
        <v>Bheemesh</v>
      </c>
      <c r="N77" s="5" t="str">
        <f>INDEX(Master_Branch!$C:$C, MATCH(D77,Master_Branch!$A:$A,0))</f>
        <v>Hyderabad</v>
      </c>
      <c r="O77" s="5" t="str">
        <f t="shared" si="6"/>
        <v>Wednesday</v>
      </c>
      <c r="P77" s="15">
        <f t="shared" si="7"/>
        <v>46113</v>
      </c>
      <c r="Q77" s="5" t="str">
        <f t="shared" si="8"/>
        <v>Fast</v>
      </c>
      <c r="R77" s="9" t="str">
        <f t="shared" si="9"/>
        <v>Needs Improvement</v>
      </c>
    </row>
    <row r="78" spans="1:18">
      <c r="A78" s="5" t="s">
        <v>87</v>
      </c>
      <c r="B78" s="7">
        <v>46128</v>
      </c>
      <c r="C78" s="8">
        <v>0.47916666666666669</v>
      </c>
      <c r="D78" s="5" t="s">
        <v>206</v>
      </c>
      <c r="E78" s="5" t="s">
        <v>212</v>
      </c>
      <c r="F78" s="5" t="s">
        <v>409</v>
      </c>
      <c r="G78" s="5" t="s">
        <v>299</v>
      </c>
      <c r="H78" s="5">
        <v>152</v>
      </c>
      <c r="I78" s="5">
        <v>26</v>
      </c>
      <c r="J78" s="5">
        <v>4</v>
      </c>
      <c r="K78" s="5" t="s">
        <v>383</v>
      </c>
      <c r="L78" s="5" t="str">
        <f>INDEX('Master_Menu Item'!$B:$B, MATCH(F78,'Master_Menu Item'!$A:$A,0))</f>
        <v>Fast Food</v>
      </c>
      <c r="M78" s="5" t="str">
        <f t="shared" si="5"/>
        <v>Bharathi</v>
      </c>
      <c r="N78" s="5" t="str">
        <f>INDEX(Master_Branch!$C:$C, MATCH(D78,Master_Branch!$A:$A,0))</f>
        <v>Chennai</v>
      </c>
      <c r="O78" s="5" t="str">
        <f t="shared" si="6"/>
        <v>Thursday</v>
      </c>
      <c r="P78" s="15">
        <f t="shared" si="7"/>
        <v>46113</v>
      </c>
      <c r="Q78" s="5" t="str">
        <f t="shared" si="8"/>
        <v>Normal</v>
      </c>
      <c r="R78" s="9" t="str">
        <f t="shared" si="9"/>
        <v>Good</v>
      </c>
    </row>
    <row r="79" spans="1:18">
      <c r="A79" s="5" t="s">
        <v>88</v>
      </c>
      <c r="B79" s="7">
        <v>46129</v>
      </c>
      <c r="C79" s="8">
        <v>0.52777777777777779</v>
      </c>
      <c r="D79" s="5" t="s">
        <v>203</v>
      </c>
      <c r="E79" s="5" t="s">
        <v>210</v>
      </c>
      <c r="F79" s="5" t="s">
        <v>226</v>
      </c>
      <c r="G79" s="5" t="s">
        <v>300</v>
      </c>
      <c r="H79" s="5">
        <v>204</v>
      </c>
      <c r="I79" s="5">
        <v>19</v>
      </c>
      <c r="J79" s="5">
        <v>2</v>
      </c>
      <c r="K79" s="5" t="s">
        <v>384</v>
      </c>
      <c r="L79" s="5" t="str">
        <f>INDEX('Master_Menu Item'!$B:$B, MATCH(F79,'Master_Menu Item'!$A:$A,0))</f>
        <v>North Indian</v>
      </c>
      <c r="M79" s="5" t="str">
        <f t="shared" si="5"/>
        <v>Narendra</v>
      </c>
      <c r="N79" s="5" t="str">
        <f>INDEX(Master_Branch!$C:$C, MATCH(D79,Master_Branch!$A:$A,0))</f>
        <v>Bengaluru</v>
      </c>
      <c r="O79" s="5" t="str">
        <f t="shared" si="6"/>
        <v>Friday</v>
      </c>
      <c r="P79" s="15">
        <f t="shared" si="7"/>
        <v>46113</v>
      </c>
      <c r="Q79" s="5" t="str">
        <f t="shared" si="8"/>
        <v>Fast</v>
      </c>
      <c r="R79" s="9" t="str">
        <f t="shared" si="9"/>
        <v>Needs Improvement</v>
      </c>
    </row>
    <row r="80" spans="1:18">
      <c r="A80" s="5" t="s">
        <v>89</v>
      </c>
      <c r="B80" s="7">
        <v>46130</v>
      </c>
      <c r="C80" s="8">
        <v>0.5625</v>
      </c>
      <c r="D80" s="5" t="s">
        <v>207</v>
      </c>
      <c r="E80" s="5" t="s">
        <v>211</v>
      </c>
      <c r="F80" s="5" t="s">
        <v>227</v>
      </c>
      <c r="G80" s="5" t="s">
        <v>301</v>
      </c>
      <c r="H80" s="5">
        <v>207</v>
      </c>
      <c r="I80" s="5">
        <v>18</v>
      </c>
      <c r="J80" s="5">
        <v>5</v>
      </c>
      <c r="K80" s="5" t="s">
        <v>384</v>
      </c>
      <c r="L80" s="5" t="str">
        <f>INDEX('Master_Menu Item'!$B:$B, MATCH(F80,'Master_Menu Item'!$A:$A,0))</f>
        <v>Chinese</v>
      </c>
      <c r="M80" s="5" t="str">
        <f t="shared" si="5"/>
        <v>Ruchi</v>
      </c>
      <c r="N80" s="5" t="str">
        <f>INDEX(Master_Branch!$C:$C, MATCH(D80,Master_Branch!$A:$A,0))</f>
        <v>Kochi</v>
      </c>
      <c r="O80" s="5" t="str">
        <f t="shared" si="6"/>
        <v>Saturday</v>
      </c>
      <c r="P80" s="15">
        <f t="shared" si="7"/>
        <v>46113</v>
      </c>
      <c r="Q80" s="5" t="str">
        <f t="shared" si="8"/>
        <v>Fast</v>
      </c>
      <c r="R80" s="9" t="str">
        <f t="shared" si="9"/>
        <v>Good</v>
      </c>
    </row>
    <row r="81" spans="1:18">
      <c r="A81" s="5" t="s">
        <v>90</v>
      </c>
      <c r="B81" s="7">
        <v>46131</v>
      </c>
      <c r="C81" s="8">
        <v>0.6875</v>
      </c>
      <c r="D81" s="5" t="s">
        <v>204</v>
      </c>
      <c r="E81" s="5" t="s">
        <v>212</v>
      </c>
      <c r="F81" s="5" t="s">
        <v>218</v>
      </c>
      <c r="G81" s="5" t="s">
        <v>302</v>
      </c>
      <c r="H81" s="5">
        <v>176</v>
      </c>
      <c r="I81" s="5">
        <v>27</v>
      </c>
      <c r="J81" s="5">
        <v>2</v>
      </c>
      <c r="K81" s="5" t="s">
        <v>383</v>
      </c>
      <c r="L81" s="5" t="str">
        <f>INDEX('Master_Menu Item'!$B:$B, MATCH(F81,'Master_Menu Item'!$A:$A,0))</f>
        <v>Deserts/Bakery</v>
      </c>
      <c r="M81" s="5" t="str">
        <f t="shared" si="5"/>
        <v>Haranya</v>
      </c>
      <c r="N81" s="5" t="str">
        <f>INDEX(Master_Branch!$C:$C, MATCH(D81,Master_Branch!$A:$A,0))</f>
        <v>Hyderabad</v>
      </c>
      <c r="O81" s="5" t="str">
        <f t="shared" si="6"/>
        <v>Sunday</v>
      </c>
      <c r="P81" s="15">
        <f t="shared" si="7"/>
        <v>46113</v>
      </c>
      <c r="Q81" s="5" t="str">
        <f t="shared" si="8"/>
        <v>Normal</v>
      </c>
      <c r="R81" s="9" t="str">
        <f t="shared" si="9"/>
        <v>Needs Improvement</v>
      </c>
    </row>
    <row r="82" spans="1:18">
      <c r="A82" s="5" t="s">
        <v>91</v>
      </c>
      <c r="B82" s="7">
        <v>46132</v>
      </c>
      <c r="C82" s="8">
        <v>0.3888888888888889</v>
      </c>
      <c r="D82" s="5" t="s">
        <v>205</v>
      </c>
      <c r="E82" s="5" t="s">
        <v>213</v>
      </c>
      <c r="F82" s="5" t="s">
        <v>223</v>
      </c>
      <c r="G82" s="5" t="s">
        <v>303</v>
      </c>
      <c r="H82" s="5">
        <v>170</v>
      </c>
      <c r="I82" s="5">
        <v>37</v>
      </c>
      <c r="J82" s="5">
        <v>4</v>
      </c>
      <c r="K82" s="5" t="s">
        <v>382</v>
      </c>
      <c r="L82" s="5" t="str">
        <f>INDEX('Master_Menu Item'!$B:$B, MATCH(F82,'Master_Menu Item'!$A:$A,0))</f>
        <v>South Indian</v>
      </c>
      <c r="M82" s="5" t="str">
        <f t="shared" si="5"/>
        <v>Sashi</v>
      </c>
      <c r="N82" s="5" t="str">
        <f>INDEX(Master_Branch!$C:$C, MATCH(D82,Master_Branch!$A:$A,0))</f>
        <v>Vijaywada</v>
      </c>
      <c r="O82" s="5" t="str">
        <f t="shared" si="6"/>
        <v>Monday</v>
      </c>
      <c r="P82" s="15">
        <f t="shared" si="7"/>
        <v>46113</v>
      </c>
      <c r="Q82" s="5" t="str">
        <f t="shared" si="8"/>
        <v>Slow</v>
      </c>
      <c r="R82" s="9" t="str">
        <f t="shared" si="9"/>
        <v>Good</v>
      </c>
    </row>
    <row r="83" spans="1:18">
      <c r="A83" s="5" t="s">
        <v>92</v>
      </c>
      <c r="B83" s="10">
        <v>46133</v>
      </c>
      <c r="C83" s="8">
        <v>0.43055555555555558</v>
      </c>
      <c r="D83" s="5" t="s">
        <v>206</v>
      </c>
      <c r="E83" s="5" t="s">
        <v>212</v>
      </c>
      <c r="F83" s="5" t="s">
        <v>215</v>
      </c>
      <c r="G83" s="5" t="s">
        <v>304</v>
      </c>
      <c r="H83" s="5">
        <v>168</v>
      </c>
      <c r="I83" s="5">
        <v>18</v>
      </c>
      <c r="J83" s="5">
        <v>3</v>
      </c>
      <c r="K83" s="5" t="s">
        <v>383</v>
      </c>
      <c r="L83" s="5" t="str">
        <f>INDEX('Master_Menu Item'!$B:$B, MATCH(F83,'Master_Menu Item'!$A:$A,0))</f>
        <v>Fast Food</v>
      </c>
      <c r="M83" s="5" t="str">
        <f t="shared" si="5"/>
        <v>Sakshi</v>
      </c>
      <c r="N83" s="5" t="str">
        <f>INDEX(Master_Branch!$C:$C, MATCH(D83,Master_Branch!$A:$A,0))</f>
        <v>Chennai</v>
      </c>
      <c r="O83" s="5" t="str">
        <f t="shared" si="6"/>
        <v>Tuesday</v>
      </c>
      <c r="P83" s="15">
        <f t="shared" si="7"/>
        <v>46113</v>
      </c>
      <c r="Q83" s="5" t="str">
        <f t="shared" si="8"/>
        <v>Fast</v>
      </c>
      <c r="R83" s="9" t="str">
        <f t="shared" si="9"/>
        <v>Needs Improvement</v>
      </c>
    </row>
    <row r="84" spans="1:18">
      <c r="A84" s="5" t="s">
        <v>93</v>
      </c>
      <c r="B84" s="7">
        <v>46134</v>
      </c>
      <c r="C84" s="8">
        <v>0.56944444444444442</v>
      </c>
      <c r="D84" s="5" t="s">
        <v>203</v>
      </c>
      <c r="E84" s="5" t="s">
        <v>213</v>
      </c>
      <c r="F84" s="5" t="s">
        <v>216</v>
      </c>
      <c r="G84" s="5" t="s">
        <v>305</v>
      </c>
      <c r="H84" s="5">
        <v>259</v>
      </c>
      <c r="I84" s="5">
        <v>26</v>
      </c>
      <c r="J84" s="5">
        <v>4</v>
      </c>
      <c r="K84" s="5" t="s">
        <v>384</v>
      </c>
      <c r="L84" s="5" t="str">
        <f>INDEX('Master_Menu Item'!$B:$B, MATCH(F84,'Master_Menu Item'!$A:$A,0))</f>
        <v>North Indian</v>
      </c>
      <c r="M84" s="5" t="str">
        <f t="shared" si="5"/>
        <v>Sreekarun</v>
      </c>
      <c r="N84" s="5" t="str">
        <f>INDEX(Master_Branch!$C:$C, MATCH(D84,Master_Branch!$A:$A,0))</f>
        <v>Bengaluru</v>
      </c>
      <c r="O84" s="5" t="str">
        <f t="shared" si="6"/>
        <v>Wednesday</v>
      </c>
      <c r="P84" s="15">
        <f t="shared" si="7"/>
        <v>46113</v>
      </c>
      <c r="Q84" s="5" t="str">
        <f t="shared" si="8"/>
        <v>Normal</v>
      </c>
      <c r="R84" s="9" t="str">
        <f t="shared" si="9"/>
        <v>Good</v>
      </c>
    </row>
    <row r="85" spans="1:18">
      <c r="A85" s="5" t="s">
        <v>94</v>
      </c>
      <c r="B85" s="7">
        <v>46135</v>
      </c>
      <c r="C85" s="8">
        <v>0.52083333333333337</v>
      </c>
      <c r="D85" s="5" t="s">
        <v>203</v>
      </c>
      <c r="E85" s="5" t="s">
        <v>209</v>
      </c>
      <c r="F85" s="5" t="s">
        <v>214</v>
      </c>
      <c r="G85" s="5" t="s">
        <v>306</v>
      </c>
      <c r="H85" s="5">
        <v>194</v>
      </c>
      <c r="I85" s="5">
        <v>28</v>
      </c>
      <c r="J85" s="5">
        <v>2</v>
      </c>
      <c r="K85" s="5" t="s">
        <v>382</v>
      </c>
      <c r="L85" s="5" t="str">
        <f>INDEX('Master_Menu Item'!$B:$B, MATCH(F85,'Master_Menu Item'!$A:$A,0))</f>
        <v>South Indian</v>
      </c>
      <c r="M85" s="5" t="str">
        <f t="shared" si="5"/>
        <v>Divya</v>
      </c>
      <c r="N85" s="5" t="str">
        <f>INDEX(Master_Branch!$C:$C, MATCH(D85,Master_Branch!$A:$A,0))</f>
        <v>Bengaluru</v>
      </c>
      <c r="O85" s="5" t="str">
        <f t="shared" si="6"/>
        <v>Thursday</v>
      </c>
      <c r="P85" s="15">
        <f t="shared" si="7"/>
        <v>46113</v>
      </c>
      <c r="Q85" s="5" t="str">
        <f t="shared" si="8"/>
        <v>Normal</v>
      </c>
      <c r="R85" s="9" t="str">
        <f t="shared" si="9"/>
        <v>Needs Improvement</v>
      </c>
    </row>
    <row r="86" spans="1:18">
      <c r="A86" s="5" t="s">
        <v>95</v>
      </c>
      <c r="B86" s="7">
        <v>46136</v>
      </c>
      <c r="C86" s="8">
        <v>0.60416666666666663</v>
      </c>
      <c r="D86" s="5" t="s">
        <v>207</v>
      </c>
      <c r="E86" s="5" t="s">
        <v>210</v>
      </c>
      <c r="F86" s="5" t="s">
        <v>409</v>
      </c>
      <c r="G86" s="5" t="s">
        <v>307</v>
      </c>
      <c r="H86" s="5">
        <v>126</v>
      </c>
      <c r="I86" s="5">
        <v>16</v>
      </c>
      <c r="J86" s="5">
        <v>4</v>
      </c>
      <c r="K86" s="5" t="s">
        <v>382</v>
      </c>
      <c r="L86" s="5" t="str">
        <f>INDEX('Master_Menu Item'!$B:$B, MATCH(F86,'Master_Menu Item'!$A:$A,0))</f>
        <v>Fast Food</v>
      </c>
      <c r="M86" s="5" t="str">
        <f t="shared" si="5"/>
        <v>Mukesh</v>
      </c>
      <c r="N86" s="5" t="str">
        <f>INDEX(Master_Branch!$C:$C, MATCH(D86,Master_Branch!$A:$A,0))</f>
        <v>Kochi</v>
      </c>
      <c r="O86" s="5" t="str">
        <f t="shared" si="6"/>
        <v>Friday</v>
      </c>
      <c r="P86" s="15">
        <f t="shared" si="7"/>
        <v>46113</v>
      </c>
      <c r="Q86" s="5" t="str">
        <f t="shared" si="8"/>
        <v>Fast</v>
      </c>
      <c r="R86" s="9" t="str">
        <f t="shared" si="9"/>
        <v>Good</v>
      </c>
    </row>
    <row r="87" spans="1:18">
      <c r="A87" s="5" t="s">
        <v>96</v>
      </c>
      <c r="B87" s="10">
        <v>46137</v>
      </c>
      <c r="C87" s="8">
        <v>0.47916666666666669</v>
      </c>
      <c r="D87" s="5" t="s">
        <v>204</v>
      </c>
      <c r="E87" s="5" t="s">
        <v>211</v>
      </c>
      <c r="F87" s="5" t="s">
        <v>226</v>
      </c>
      <c r="G87" s="5" t="s">
        <v>308</v>
      </c>
      <c r="H87" s="5">
        <v>238</v>
      </c>
      <c r="I87" s="5">
        <v>18</v>
      </c>
      <c r="J87" s="5">
        <v>3</v>
      </c>
      <c r="K87" s="5" t="s">
        <v>382</v>
      </c>
      <c r="L87" s="5" t="str">
        <f>INDEX('Master_Menu Item'!$B:$B, MATCH(F87,'Master_Menu Item'!$A:$A,0))</f>
        <v>North Indian</v>
      </c>
      <c r="M87" s="5" t="str">
        <f t="shared" si="5"/>
        <v>Rahul</v>
      </c>
      <c r="N87" s="5" t="str">
        <f>INDEX(Master_Branch!$C:$C, MATCH(D87,Master_Branch!$A:$A,0))</f>
        <v>Hyderabad</v>
      </c>
      <c r="O87" s="5" t="str">
        <f t="shared" si="6"/>
        <v>Saturday</v>
      </c>
      <c r="P87" s="15">
        <f t="shared" si="7"/>
        <v>46113</v>
      </c>
      <c r="Q87" s="5" t="str">
        <f t="shared" si="8"/>
        <v>Fast</v>
      </c>
      <c r="R87" s="9" t="str">
        <f t="shared" si="9"/>
        <v>Needs Improvement</v>
      </c>
    </row>
    <row r="88" spans="1:18">
      <c r="A88" s="5" t="s">
        <v>97</v>
      </c>
      <c r="B88" s="7">
        <v>46138</v>
      </c>
      <c r="C88" s="8">
        <v>0.53125</v>
      </c>
      <c r="D88" s="5" t="s">
        <v>207</v>
      </c>
      <c r="E88" s="5" t="s">
        <v>212</v>
      </c>
      <c r="F88" s="5" t="s">
        <v>227</v>
      </c>
      <c r="G88" s="5" t="s">
        <v>309</v>
      </c>
      <c r="H88" s="5">
        <v>186</v>
      </c>
      <c r="I88" s="5">
        <v>18</v>
      </c>
      <c r="J88" s="5">
        <v>2</v>
      </c>
      <c r="K88" s="5" t="s">
        <v>382</v>
      </c>
      <c r="L88" s="5" t="str">
        <f>INDEX('Master_Menu Item'!$B:$B, MATCH(F88,'Master_Menu Item'!$A:$A,0))</f>
        <v>Chinese</v>
      </c>
      <c r="M88" s="5" t="str">
        <f t="shared" si="5"/>
        <v>Thoufiq</v>
      </c>
      <c r="N88" s="5" t="str">
        <f>INDEX(Master_Branch!$C:$C, MATCH(D88,Master_Branch!$A:$A,0))</f>
        <v>Kochi</v>
      </c>
      <c r="O88" s="5" t="str">
        <f t="shared" si="6"/>
        <v>Sunday</v>
      </c>
      <c r="P88" s="15">
        <f t="shared" si="7"/>
        <v>46113</v>
      </c>
      <c r="Q88" s="5" t="str">
        <f t="shared" si="8"/>
        <v>Fast</v>
      </c>
      <c r="R88" s="9" t="str">
        <f t="shared" si="9"/>
        <v>Needs Improvement</v>
      </c>
    </row>
    <row r="89" spans="1:18">
      <c r="A89" s="5" t="s">
        <v>98</v>
      </c>
      <c r="B89" s="10">
        <v>46139</v>
      </c>
      <c r="C89" s="8">
        <v>0.35416666666666669</v>
      </c>
      <c r="D89" s="5" t="s">
        <v>204</v>
      </c>
      <c r="E89" s="5" t="s">
        <v>210</v>
      </c>
      <c r="F89" s="5" t="s">
        <v>218</v>
      </c>
      <c r="G89" s="5" t="s">
        <v>310</v>
      </c>
      <c r="H89" s="5">
        <v>171</v>
      </c>
      <c r="I89" s="5">
        <v>27</v>
      </c>
      <c r="J89" s="5">
        <v>1</v>
      </c>
      <c r="K89" s="5" t="s">
        <v>382</v>
      </c>
      <c r="L89" s="5" t="str">
        <f>INDEX('Master_Menu Item'!$B:$B, MATCH(F89,'Master_Menu Item'!$A:$A,0))</f>
        <v>Deserts/Bakery</v>
      </c>
      <c r="M89" s="5" t="str">
        <f t="shared" si="5"/>
        <v>Kishore</v>
      </c>
      <c r="N89" s="5" t="str">
        <f>INDEX(Master_Branch!$C:$C, MATCH(D89,Master_Branch!$A:$A,0))</f>
        <v>Hyderabad</v>
      </c>
      <c r="O89" s="5" t="str">
        <f t="shared" si="6"/>
        <v>Monday</v>
      </c>
      <c r="P89" s="15">
        <f t="shared" si="7"/>
        <v>46113</v>
      </c>
      <c r="Q89" s="5" t="str">
        <f t="shared" si="8"/>
        <v>Normal</v>
      </c>
      <c r="R89" s="9" t="str">
        <f t="shared" si="9"/>
        <v>Needs Improvement</v>
      </c>
    </row>
    <row r="90" spans="1:18">
      <c r="A90" s="5" t="s">
        <v>99</v>
      </c>
      <c r="B90" s="7">
        <v>46140</v>
      </c>
      <c r="C90" s="8">
        <v>0.40625</v>
      </c>
      <c r="D90" s="5" t="s">
        <v>205</v>
      </c>
      <c r="E90" s="5" t="s">
        <v>211</v>
      </c>
      <c r="F90" s="5" t="s">
        <v>223</v>
      </c>
      <c r="G90" s="5" t="s">
        <v>311</v>
      </c>
      <c r="H90" s="5">
        <v>223</v>
      </c>
      <c r="I90" s="5">
        <v>39</v>
      </c>
      <c r="J90" s="5">
        <v>4</v>
      </c>
      <c r="K90" s="5" t="s">
        <v>383</v>
      </c>
      <c r="L90" s="5" t="str">
        <f>INDEX('Master_Menu Item'!$B:$B, MATCH(F90,'Master_Menu Item'!$A:$A,0))</f>
        <v>South Indian</v>
      </c>
      <c r="M90" s="5" t="str">
        <f t="shared" si="5"/>
        <v>Hemanth</v>
      </c>
      <c r="N90" s="5" t="str">
        <f>INDEX(Master_Branch!$C:$C, MATCH(D90,Master_Branch!$A:$A,0))</f>
        <v>Vijaywada</v>
      </c>
      <c r="O90" s="5" t="str">
        <f t="shared" si="6"/>
        <v>Tuesday</v>
      </c>
      <c r="P90" s="15">
        <f t="shared" si="7"/>
        <v>46113</v>
      </c>
      <c r="Q90" s="5" t="str">
        <f t="shared" si="8"/>
        <v>Slow</v>
      </c>
      <c r="R90" s="9" t="str">
        <f t="shared" si="9"/>
        <v>Good</v>
      </c>
    </row>
    <row r="91" spans="1:18">
      <c r="A91" s="5" t="s">
        <v>100</v>
      </c>
      <c r="B91" s="7">
        <v>46141</v>
      </c>
      <c r="C91" s="8">
        <v>0.4375</v>
      </c>
      <c r="D91" s="5" t="s">
        <v>206</v>
      </c>
      <c r="E91" s="5" t="s">
        <v>212</v>
      </c>
      <c r="F91" s="5" t="s">
        <v>215</v>
      </c>
      <c r="G91" s="5" t="s">
        <v>312</v>
      </c>
      <c r="H91" s="5">
        <v>101</v>
      </c>
      <c r="I91" s="5">
        <v>27</v>
      </c>
      <c r="J91" s="5">
        <v>3</v>
      </c>
      <c r="K91" s="5" t="s">
        <v>384</v>
      </c>
      <c r="L91" s="5" t="str">
        <f>INDEX('Master_Menu Item'!$B:$B, MATCH(F91,'Master_Menu Item'!$A:$A,0))</f>
        <v>Fast Food</v>
      </c>
      <c r="M91" s="5" t="str">
        <f t="shared" si="5"/>
        <v>Dhanunjay</v>
      </c>
      <c r="N91" s="5" t="str">
        <f>INDEX(Master_Branch!$C:$C, MATCH(D91,Master_Branch!$A:$A,0))</f>
        <v>Chennai</v>
      </c>
      <c r="O91" s="5" t="str">
        <f t="shared" si="6"/>
        <v>Wednesday</v>
      </c>
      <c r="P91" s="15">
        <f t="shared" si="7"/>
        <v>46113</v>
      </c>
      <c r="Q91" s="5" t="str">
        <f t="shared" si="8"/>
        <v>Normal</v>
      </c>
      <c r="R91" s="9" t="str">
        <f t="shared" si="9"/>
        <v>Needs Improvement</v>
      </c>
    </row>
    <row r="92" spans="1:18">
      <c r="A92" s="5" t="s">
        <v>101</v>
      </c>
      <c r="B92" s="10">
        <v>46142</v>
      </c>
      <c r="C92" s="8">
        <v>0.36458333333333331</v>
      </c>
      <c r="D92" s="5" t="s">
        <v>203</v>
      </c>
      <c r="E92" s="5" t="s">
        <v>213</v>
      </c>
      <c r="F92" s="5" t="s">
        <v>216</v>
      </c>
      <c r="G92" s="5" t="s">
        <v>313</v>
      </c>
      <c r="H92" s="5">
        <v>282</v>
      </c>
      <c r="I92" s="5">
        <v>22</v>
      </c>
      <c r="J92" s="5">
        <v>3</v>
      </c>
      <c r="K92" s="5" t="s">
        <v>384</v>
      </c>
      <c r="L92" s="5" t="str">
        <f>INDEX('Master_Menu Item'!$B:$B, MATCH(F92,'Master_Menu Item'!$A:$A,0))</f>
        <v>North Indian</v>
      </c>
      <c r="M92" s="5" t="str">
        <f t="shared" si="5"/>
        <v>Akshaya</v>
      </c>
      <c r="N92" s="5" t="str">
        <f>INDEX(Master_Branch!$C:$C, MATCH(D92,Master_Branch!$A:$A,0))</f>
        <v>Bengaluru</v>
      </c>
      <c r="O92" s="5" t="str">
        <f t="shared" si="6"/>
        <v>Thursday</v>
      </c>
      <c r="P92" s="15">
        <f t="shared" si="7"/>
        <v>46113</v>
      </c>
      <c r="Q92" s="5" t="str">
        <f t="shared" si="8"/>
        <v>Normal</v>
      </c>
      <c r="R92" s="9" t="str">
        <f t="shared" si="9"/>
        <v>Needs Improvement</v>
      </c>
    </row>
    <row r="93" spans="1:18">
      <c r="A93" s="5" t="s">
        <v>102</v>
      </c>
      <c r="B93" s="7">
        <v>46143</v>
      </c>
      <c r="C93" s="8">
        <v>0.36805555555555558</v>
      </c>
      <c r="D93" s="5" t="s">
        <v>203</v>
      </c>
      <c r="E93" s="5" t="s">
        <v>209</v>
      </c>
      <c r="F93" s="5" t="s">
        <v>215</v>
      </c>
      <c r="G93" s="5" t="s">
        <v>314</v>
      </c>
      <c r="H93" s="5">
        <v>298</v>
      </c>
      <c r="I93" s="5">
        <v>12</v>
      </c>
      <c r="J93" s="5">
        <v>4</v>
      </c>
      <c r="K93" s="5" t="s">
        <v>383</v>
      </c>
      <c r="L93" s="5" t="str">
        <f>INDEX('Master_Menu Item'!$B:$B, MATCH(F93,'Master_Menu Item'!$A:$A,0))</f>
        <v>Fast Food</v>
      </c>
      <c r="M93" s="5" t="str">
        <f t="shared" si="5"/>
        <v>Anu</v>
      </c>
      <c r="N93" s="5" t="str">
        <f>INDEX(Master_Branch!$C:$C, MATCH(D93,Master_Branch!$A:$A,0))</f>
        <v>Bengaluru</v>
      </c>
      <c r="O93" s="5" t="str">
        <f t="shared" si="6"/>
        <v>Friday</v>
      </c>
      <c r="P93" s="15">
        <f t="shared" si="7"/>
        <v>46143</v>
      </c>
      <c r="Q93" s="5" t="str">
        <f t="shared" si="8"/>
        <v>Fast</v>
      </c>
      <c r="R93" s="9" t="str">
        <f t="shared" si="9"/>
        <v>Good</v>
      </c>
    </row>
    <row r="94" spans="1:18">
      <c r="A94" s="5" t="s">
        <v>103</v>
      </c>
      <c r="B94" s="10">
        <v>46144</v>
      </c>
      <c r="C94" s="8">
        <v>0.39583333333333331</v>
      </c>
      <c r="D94" s="5" t="s">
        <v>207</v>
      </c>
      <c r="E94" s="5" t="s">
        <v>210</v>
      </c>
      <c r="F94" s="5" t="s">
        <v>216</v>
      </c>
      <c r="G94" s="5" t="s">
        <v>315</v>
      </c>
      <c r="H94" s="5">
        <v>161</v>
      </c>
      <c r="I94" s="5">
        <v>18</v>
      </c>
      <c r="J94" s="5">
        <v>4</v>
      </c>
      <c r="K94" s="5" t="s">
        <v>384</v>
      </c>
      <c r="L94" s="5" t="str">
        <f>INDEX('Master_Menu Item'!$B:$B, MATCH(F94,'Master_Menu Item'!$A:$A,0))</f>
        <v>North Indian</v>
      </c>
      <c r="M94" s="5" t="str">
        <f t="shared" si="5"/>
        <v>Jashmitha</v>
      </c>
      <c r="N94" s="5" t="str">
        <f>INDEX(Master_Branch!$C:$C, MATCH(D94,Master_Branch!$A:$A,0))</f>
        <v>Kochi</v>
      </c>
      <c r="O94" s="5" t="str">
        <f t="shared" si="6"/>
        <v>Saturday</v>
      </c>
      <c r="P94" s="15">
        <f t="shared" si="7"/>
        <v>46143</v>
      </c>
      <c r="Q94" s="5" t="str">
        <f t="shared" si="8"/>
        <v>Fast</v>
      </c>
      <c r="R94" s="9" t="str">
        <f t="shared" si="9"/>
        <v>Good</v>
      </c>
    </row>
    <row r="95" spans="1:18">
      <c r="A95" s="5" t="s">
        <v>104</v>
      </c>
      <c r="B95" s="7">
        <v>46145</v>
      </c>
      <c r="C95" s="8">
        <v>0.4375</v>
      </c>
      <c r="D95" s="5" t="s">
        <v>204</v>
      </c>
      <c r="E95" s="5" t="s">
        <v>211</v>
      </c>
      <c r="F95" s="5" t="s">
        <v>217</v>
      </c>
      <c r="G95" s="5" t="s">
        <v>316</v>
      </c>
      <c r="H95" s="5">
        <v>286</v>
      </c>
      <c r="I95" s="5">
        <v>27</v>
      </c>
      <c r="J95" s="5">
        <v>2</v>
      </c>
      <c r="K95" s="5" t="s">
        <v>382</v>
      </c>
      <c r="L95" s="5" t="str">
        <f>INDEX('Master_Menu Item'!$B:$B, MATCH(F95,'Master_Menu Item'!$A:$A,0))</f>
        <v>Chinese</v>
      </c>
      <c r="M95" s="5" t="str">
        <f t="shared" si="5"/>
        <v>Sushmitha</v>
      </c>
      <c r="N95" s="5" t="str">
        <f>INDEX(Master_Branch!$C:$C, MATCH(D95,Master_Branch!$A:$A,0))</f>
        <v>Hyderabad</v>
      </c>
      <c r="O95" s="5" t="str">
        <f t="shared" si="6"/>
        <v>Sunday</v>
      </c>
      <c r="P95" s="15">
        <f t="shared" si="7"/>
        <v>46143</v>
      </c>
      <c r="Q95" s="5" t="str">
        <f t="shared" si="8"/>
        <v>Normal</v>
      </c>
      <c r="R95" s="9" t="str">
        <f t="shared" si="9"/>
        <v>Needs Improvement</v>
      </c>
    </row>
    <row r="96" spans="1:18">
      <c r="A96" s="5" t="s">
        <v>105</v>
      </c>
      <c r="B96" s="10">
        <v>46146</v>
      </c>
      <c r="C96" s="8">
        <v>0.48958333333333331</v>
      </c>
      <c r="D96" s="5" t="s">
        <v>203</v>
      </c>
      <c r="E96" s="5" t="s">
        <v>212</v>
      </c>
      <c r="F96" s="5" t="s">
        <v>218</v>
      </c>
      <c r="G96" s="5" t="s">
        <v>317</v>
      </c>
      <c r="H96" s="5">
        <v>223</v>
      </c>
      <c r="I96" s="5">
        <v>18</v>
      </c>
      <c r="J96" s="5">
        <v>4</v>
      </c>
      <c r="K96" s="5" t="s">
        <v>383</v>
      </c>
      <c r="L96" s="5" t="str">
        <f>INDEX('Master_Menu Item'!$B:$B, MATCH(F96,'Master_Menu Item'!$A:$A,0))</f>
        <v>Deserts/Bakery</v>
      </c>
      <c r="M96" s="5" t="str">
        <f t="shared" si="5"/>
        <v>Kabir</v>
      </c>
      <c r="N96" s="5" t="str">
        <f>INDEX(Master_Branch!$C:$C, MATCH(D96,Master_Branch!$A:$A,0))</f>
        <v>Bengaluru</v>
      </c>
      <c r="O96" s="5" t="str">
        <f t="shared" si="6"/>
        <v>Monday</v>
      </c>
      <c r="P96" s="15">
        <f t="shared" si="7"/>
        <v>46143</v>
      </c>
      <c r="Q96" s="5" t="str">
        <f t="shared" si="8"/>
        <v>Fast</v>
      </c>
      <c r="R96" s="9" t="str">
        <f t="shared" si="9"/>
        <v>Good</v>
      </c>
    </row>
    <row r="97" spans="1:18">
      <c r="A97" s="5" t="s">
        <v>106</v>
      </c>
      <c r="B97" s="7">
        <v>46147</v>
      </c>
      <c r="C97" s="8">
        <v>0.35416666666666669</v>
      </c>
      <c r="D97" s="5" t="s">
        <v>207</v>
      </c>
      <c r="E97" s="5" t="s">
        <v>213</v>
      </c>
      <c r="F97" s="5" t="s">
        <v>214</v>
      </c>
      <c r="G97" s="5" t="s">
        <v>318</v>
      </c>
      <c r="H97" s="5">
        <v>224</v>
      </c>
      <c r="I97" s="5">
        <v>26</v>
      </c>
      <c r="J97" s="5">
        <v>4</v>
      </c>
      <c r="K97" s="5" t="s">
        <v>384</v>
      </c>
      <c r="L97" s="5" t="str">
        <f>INDEX('Master_Menu Item'!$B:$B, MATCH(F97,'Master_Menu Item'!$A:$A,0))</f>
        <v>South Indian</v>
      </c>
      <c r="M97" s="5" t="str">
        <f t="shared" si="5"/>
        <v>Vihaan</v>
      </c>
      <c r="N97" s="5" t="str">
        <f>INDEX(Master_Branch!$C:$C, MATCH(D97,Master_Branch!$A:$A,0))</f>
        <v>Kochi</v>
      </c>
      <c r="O97" s="5" t="str">
        <f t="shared" si="6"/>
        <v>Tuesday</v>
      </c>
      <c r="P97" s="15">
        <f t="shared" si="7"/>
        <v>46143</v>
      </c>
      <c r="Q97" s="5" t="str">
        <f t="shared" si="8"/>
        <v>Normal</v>
      </c>
      <c r="R97" s="9" t="str">
        <f t="shared" si="9"/>
        <v>Good</v>
      </c>
    </row>
    <row r="98" spans="1:18">
      <c r="A98" s="5" t="s">
        <v>107</v>
      </c>
      <c r="B98" s="7">
        <v>46148</v>
      </c>
      <c r="C98" s="8">
        <v>0.40625</v>
      </c>
      <c r="D98" s="5" t="s">
        <v>204</v>
      </c>
      <c r="E98" s="5" t="s">
        <v>212</v>
      </c>
      <c r="F98" s="5" t="s">
        <v>409</v>
      </c>
      <c r="G98" s="5" t="s">
        <v>319</v>
      </c>
      <c r="H98" s="5">
        <v>112</v>
      </c>
      <c r="I98" s="5">
        <v>19</v>
      </c>
      <c r="J98" s="5">
        <v>4</v>
      </c>
      <c r="K98" s="5" t="s">
        <v>382</v>
      </c>
      <c r="L98" s="5" t="str">
        <f>INDEX('Master_Menu Item'!$B:$B, MATCH(F98,'Master_Menu Item'!$A:$A,0))</f>
        <v>Fast Food</v>
      </c>
      <c r="M98" s="5" t="str">
        <f t="shared" si="5"/>
        <v>Aayush</v>
      </c>
      <c r="N98" s="5" t="str">
        <f>INDEX(Master_Branch!$C:$C, MATCH(D98,Master_Branch!$A:$A,0))</f>
        <v>Hyderabad</v>
      </c>
      <c r="O98" s="5" t="str">
        <f t="shared" si="6"/>
        <v>Wednesday</v>
      </c>
      <c r="P98" s="15">
        <f t="shared" si="7"/>
        <v>46143</v>
      </c>
      <c r="Q98" s="5" t="str">
        <f t="shared" si="8"/>
        <v>Fast</v>
      </c>
      <c r="R98" s="9" t="str">
        <f t="shared" si="9"/>
        <v>Good</v>
      </c>
    </row>
    <row r="99" spans="1:18">
      <c r="A99" s="5" t="s">
        <v>108</v>
      </c>
      <c r="B99" s="10">
        <v>46149</v>
      </c>
      <c r="C99" s="8">
        <v>0.41875000000000001</v>
      </c>
      <c r="D99" s="5" t="s">
        <v>205</v>
      </c>
      <c r="E99" s="5" t="s">
        <v>213</v>
      </c>
      <c r="F99" s="5" t="s">
        <v>226</v>
      </c>
      <c r="G99" s="5" t="s">
        <v>320</v>
      </c>
      <c r="H99" s="5">
        <v>180</v>
      </c>
      <c r="I99" s="5">
        <v>18</v>
      </c>
      <c r="J99" s="5">
        <v>4</v>
      </c>
      <c r="K99" s="5" t="s">
        <v>383</v>
      </c>
      <c r="L99" s="5" t="str">
        <f>INDEX('Master_Menu Item'!$B:$B, MATCH(F99,'Master_Menu Item'!$A:$A,0))</f>
        <v>North Indian</v>
      </c>
      <c r="M99" s="5" t="str">
        <f t="shared" si="5"/>
        <v>Ishaan</v>
      </c>
      <c r="N99" s="5" t="str">
        <f>INDEX(Master_Branch!$C:$C, MATCH(D99,Master_Branch!$A:$A,0))</f>
        <v>Vijaywada</v>
      </c>
      <c r="O99" s="5" t="str">
        <f t="shared" si="6"/>
        <v>Thursday</v>
      </c>
      <c r="P99" s="15">
        <f t="shared" si="7"/>
        <v>46143</v>
      </c>
      <c r="Q99" s="5" t="str">
        <f t="shared" si="8"/>
        <v>Fast</v>
      </c>
      <c r="R99" s="9" t="str">
        <f t="shared" si="9"/>
        <v>Good</v>
      </c>
    </row>
    <row r="100" spans="1:18">
      <c r="A100" s="5" t="s">
        <v>109</v>
      </c>
      <c r="B100" s="7">
        <v>46150</v>
      </c>
      <c r="C100" s="8">
        <v>0.45833333333333331</v>
      </c>
      <c r="D100" s="5" t="s">
        <v>206</v>
      </c>
      <c r="E100" s="5" t="s">
        <v>209</v>
      </c>
      <c r="F100" s="5" t="s">
        <v>227</v>
      </c>
      <c r="G100" s="5" t="s">
        <v>321</v>
      </c>
      <c r="H100" s="5">
        <v>184</v>
      </c>
      <c r="I100" s="5">
        <v>27</v>
      </c>
      <c r="J100" s="5">
        <v>3</v>
      </c>
      <c r="K100" s="5" t="s">
        <v>384</v>
      </c>
      <c r="L100" s="5" t="str">
        <f>INDEX('Master_Menu Item'!$B:$B, MATCH(F100,'Master_Menu Item'!$A:$A,0))</f>
        <v>Chinese</v>
      </c>
      <c r="M100" s="5" t="str">
        <f t="shared" si="5"/>
        <v>Aarav</v>
      </c>
      <c r="N100" s="5" t="str">
        <f>INDEX(Master_Branch!$C:$C, MATCH(D100,Master_Branch!$A:$A,0))</f>
        <v>Chennai</v>
      </c>
      <c r="O100" s="5" t="str">
        <f t="shared" si="6"/>
        <v>Friday</v>
      </c>
      <c r="P100" s="15">
        <f t="shared" si="7"/>
        <v>46143</v>
      </c>
      <c r="Q100" s="5" t="str">
        <f t="shared" si="8"/>
        <v>Normal</v>
      </c>
      <c r="R100" s="9" t="str">
        <f t="shared" si="9"/>
        <v>Needs Improvement</v>
      </c>
    </row>
    <row r="101" spans="1:18">
      <c r="A101" s="5" t="s">
        <v>110</v>
      </c>
      <c r="B101" s="7">
        <v>46151</v>
      </c>
      <c r="C101" s="8">
        <v>0.51388888888888884</v>
      </c>
      <c r="D101" s="5" t="s">
        <v>203</v>
      </c>
      <c r="E101" s="5" t="s">
        <v>210</v>
      </c>
      <c r="F101" s="5" t="s">
        <v>218</v>
      </c>
      <c r="G101" s="5" t="s">
        <v>322</v>
      </c>
      <c r="H101" s="5">
        <v>256</v>
      </c>
      <c r="I101" s="5">
        <v>37</v>
      </c>
      <c r="J101" s="5">
        <v>5</v>
      </c>
      <c r="K101" s="5" t="s">
        <v>382</v>
      </c>
      <c r="L101" s="5" t="str">
        <f>INDEX('Master_Menu Item'!$B:$B, MATCH(F101,'Master_Menu Item'!$A:$A,0))</f>
        <v>Deserts/Bakery</v>
      </c>
      <c r="M101" s="5" t="str">
        <f t="shared" si="5"/>
        <v>Saanvi</v>
      </c>
      <c r="N101" s="5" t="str">
        <f>INDEX(Master_Branch!$C:$C, MATCH(D101,Master_Branch!$A:$A,0))</f>
        <v>Bengaluru</v>
      </c>
      <c r="O101" s="5" t="str">
        <f t="shared" si="6"/>
        <v>Saturday</v>
      </c>
      <c r="P101" s="15">
        <f t="shared" si="7"/>
        <v>46143</v>
      </c>
      <c r="Q101" s="5" t="str">
        <f t="shared" si="8"/>
        <v>Slow</v>
      </c>
      <c r="R101" s="9" t="str">
        <f t="shared" si="9"/>
        <v>Good</v>
      </c>
    </row>
    <row r="102" spans="1:18">
      <c r="A102" s="5" t="s">
        <v>111</v>
      </c>
      <c r="B102" s="7">
        <v>46152</v>
      </c>
      <c r="C102" s="8">
        <v>0.35416666666666669</v>
      </c>
      <c r="D102" s="5" t="s">
        <v>203</v>
      </c>
      <c r="E102" s="5" t="s">
        <v>211</v>
      </c>
      <c r="F102" s="5" t="s">
        <v>223</v>
      </c>
      <c r="G102" s="5" t="s">
        <v>323</v>
      </c>
      <c r="H102" s="5">
        <v>110</v>
      </c>
      <c r="I102" s="5">
        <v>18</v>
      </c>
      <c r="J102" s="5">
        <v>3</v>
      </c>
      <c r="K102" s="5" t="s">
        <v>383</v>
      </c>
      <c r="L102" s="5" t="str">
        <f>INDEX('Master_Menu Item'!$B:$B, MATCH(F102,'Master_Menu Item'!$A:$A,0))</f>
        <v>South Indian</v>
      </c>
      <c r="M102" s="5" t="str">
        <f t="shared" si="5"/>
        <v>Diya</v>
      </c>
      <c r="N102" s="5" t="str">
        <f>INDEX(Master_Branch!$C:$C, MATCH(D102,Master_Branch!$A:$A,0))</f>
        <v>Bengaluru</v>
      </c>
      <c r="O102" s="5" t="str">
        <f t="shared" si="6"/>
        <v>Sunday</v>
      </c>
      <c r="P102" s="15">
        <f t="shared" si="7"/>
        <v>46143</v>
      </c>
      <c r="Q102" s="5" t="str">
        <f t="shared" si="8"/>
        <v>Fast</v>
      </c>
      <c r="R102" s="9" t="str">
        <f t="shared" si="9"/>
        <v>Needs Improvement</v>
      </c>
    </row>
    <row r="103" spans="1:18">
      <c r="A103" s="5" t="s">
        <v>112</v>
      </c>
      <c r="B103" s="10">
        <v>46153</v>
      </c>
      <c r="C103" s="8">
        <v>0.55555555555555558</v>
      </c>
      <c r="D103" s="5" t="s">
        <v>207</v>
      </c>
      <c r="E103" s="5" t="s">
        <v>212</v>
      </c>
      <c r="F103" s="5" t="s">
        <v>215</v>
      </c>
      <c r="G103" s="5" t="s">
        <v>324</v>
      </c>
      <c r="H103" s="5">
        <v>259</v>
      </c>
      <c r="I103" s="5">
        <v>26</v>
      </c>
      <c r="J103" s="5">
        <v>2</v>
      </c>
      <c r="K103" s="5" t="s">
        <v>384</v>
      </c>
      <c r="L103" s="5" t="str">
        <f>INDEX('Master_Menu Item'!$B:$B, MATCH(F103,'Master_Menu Item'!$A:$A,0))</f>
        <v>Fast Food</v>
      </c>
      <c r="M103" s="5" t="str">
        <f t="shared" si="5"/>
        <v>Jhavi</v>
      </c>
      <c r="N103" s="5" t="str">
        <f>INDEX(Master_Branch!$C:$C, MATCH(D103,Master_Branch!$A:$A,0))</f>
        <v>Kochi</v>
      </c>
      <c r="O103" s="5" t="str">
        <f t="shared" si="6"/>
        <v>Monday</v>
      </c>
      <c r="P103" s="15">
        <f t="shared" si="7"/>
        <v>46143</v>
      </c>
      <c r="Q103" s="5" t="str">
        <f t="shared" si="8"/>
        <v>Normal</v>
      </c>
      <c r="R103" s="9" t="str">
        <f t="shared" si="9"/>
        <v>Needs Improvement</v>
      </c>
    </row>
    <row r="104" spans="1:18">
      <c r="A104" s="5" t="s">
        <v>113</v>
      </c>
      <c r="B104" s="7">
        <v>46154</v>
      </c>
      <c r="C104" s="8">
        <v>0.47222222222222221</v>
      </c>
      <c r="D104" s="5" t="s">
        <v>204</v>
      </c>
      <c r="E104" s="5" t="s">
        <v>213</v>
      </c>
      <c r="F104" s="5" t="s">
        <v>216</v>
      </c>
      <c r="G104" s="5" t="s">
        <v>325</v>
      </c>
      <c r="H104" s="5">
        <v>172</v>
      </c>
      <c r="I104" s="5">
        <v>28</v>
      </c>
      <c r="J104" s="5">
        <v>5</v>
      </c>
      <c r="K104" s="5" t="s">
        <v>382</v>
      </c>
      <c r="L104" s="5" t="str">
        <f>INDEX('Master_Menu Item'!$B:$B, MATCH(F104,'Master_Menu Item'!$A:$A,0))</f>
        <v>North Indian</v>
      </c>
      <c r="M104" s="5" t="str">
        <f t="shared" si="5"/>
        <v>Anaya</v>
      </c>
      <c r="N104" s="5" t="str">
        <f>INDEX(Master_Branch!$C:$C, MATCH(D104,Master_Branch!$A:$A,0))</f>
        <v>Hyderabad</v>
      </c>
      <c r="O104" s="5" t="str">
        <f t="shared" si="6"/>
        <v>Tuesday</v>
      </c>
      <c r="P104" s="15">
        <f t="shared" si="7"/>
        <v>46143</v>
      </c>
      <c r="Q104" s="5" t="str">
        <f t="shared" si="8"/>
        <v>Normal</v>
      </c>
      <c r="R104" s="9" t="str">
        <f t="shared" si="9"/>
        <v>Good</v>
      </c>
    </row>
    <row r="105" spans="1:18">
      <c r="A105" s="5" t="s">
        <v>114</v>
      </c>
      <c r="B105" s="7">
        <v>46155</v>
      </c>
      <c r="C105" s="8">
        <v>0.60416666666666663</v>
      </c>
      <c r="D105" s="5" t="s">
        <v>204</v>
      </c>
      <c r="E105" s="5" t="s">
        <v>209</v>
      </c>
      <c r="F105" s="5" t="s">
        <v>218</v>
      </c>
      <c r="G105" s="5" t="s">
        <v>317</v>
      </c>
      <c r="H105" s="5">
        <v>276</v>
      </c>
      <c r="I105" s="5">
        <v>16</v>
      </c>
      <c r="J105" s="5">
        <v>2</v>
      </c>
      <c r="K105" s="5" t="s">
        <v>382</v>
      </c>
      <c r="L105" s="5" t="str">
        <f>INDEX('Master_Menu Item'!$B:$B, MATCH(F105,'Master_Menu Item'!$A:$A,0))</f>
        <v>Deserts/Bakery</v>
      </c>
      <c r="M105" s="5" t="str">
        <f t="shared" si="5"/>
        <v>Kabir</v>
      </c>
      <c r="N105" s="5" t="str">
        <f>INDEX(Master_Branch!$C:$C, MATCH(D105,Master_Branch!$A:$A,0))</f>
        <v>Hyderabad</v>
      </c>
      <c r="O105" s="5" t="str">
        <f t="shared" si="6"/>
        <v>Wednesday</v>
      </c>
      <c r="P105" s="15">
        <f t="shared" si="7"/>
        <v>46143</v>
      </c>
      <c r="Q105" s="5" t="str">
        <f t="shared" si="8"/>
        <v>Fast</v>
      </c>
      <c r="R105" s="9" t="str">
        <f t="shared" si="9"/>
        <v>Needs Improvement</v>
      </c>
    </row>
    <row r="106" spans="1:18">
      <c r="A106" s="5" t="s">
        <v>115</v>
      </c>
      <c r="B106" s="7">
        <v>46156</v>
      </c>
      <c r="C106" s="8">
        <v>0.52083333333333337</v>
      </c>
      <c r="D106" s="5" t="s">
        <v>205</v>
      </c>
      <c r="E106" s="5" t="s">
        <v>210</v>
      </c>
      <c r="F106" s="5" t="s">
        <v>223</v>
      </c>
      <c r="G106" s="5" t="s">
        <v>326</v>
      </c>
      <c r="H106" s="5">
        <v>133</v>
      </c>
      <c r="I106" s="5">
        <v>18</v>
      </c>
      <c r="J106" s="5">
        <v>3</v>
      </c>
      <c r="K106" s="5" t="s">
        <v>382</v>
      </c>
      <c r="L106" s="5" t="str">
        <f>INDEX('Master_Menu Item'!$B:$B, MATCH(F106,'Master_Menu Item'!$A:$A,0))</f>
        <v>South Indian</v>
      </c>
      <c r="M106" s="5" t="str">
        <f t="shared" si="5"/>
        <v>Kathir</v>
      </c>
      <c r="N106" s="5" t="str">
        <f>INDEX(Master_Branch!$C:$C, MATCH(D106,Master_Branch!$A:$A,0))</f>
        <v>Vijaywada</v>
      </c>
      <c r="O106" s="5" t="str">
        <f t="shared" si="6"/>
        <v>Thursday</v>
      </c>
      <c r="P106" s="15">
        <f t="shared" si="7"/>
        <v>46143</v>
      </c>
      <c r="Q106" s="5" t="str">
        <f t="shared" si="8"/>
        <v>Fast</v>
      </c>
      <c r="R106" s="9" t="str">
        <f t="shared" si="9"/>
        <v>Needs Improvement</v>
      </c>
    </row>
    <row r="107" spans="1:18">
      <c r="A107" s="5" t="s">
        <v>116</v>
      </c>
      <c r="B107" s="7">
        <v>46157</v>
      </c>
      <c r="C107" s="8">
        <v>0.47916666666666669</v>
      </c>
      <c r="D107" s="5" t="s">
        <v>206</v>
      </c>
      <c r="E107" s="5" t="s">
        <v>211</v>
      </c>
      <c r="F107" s="5" t="s">
        <v>215</v>
      </c>
      <c r="G107" s="5" t="s">
        <v>327</v>
      </c>
      <c r="H107" s="5">
        <v>278</v>
      </c>
      <c r="I107" s="5">
        <v>18</v>
      </c>
      <c r="J107" s="5">
        <v>4</v>
      </c>
      <c r="K107" s="5" t="s">
        <v>383</v>
      </c>
      <c r="L107" s="5" t="str">
        <f>INDEX('Master_Menu Item'!$B:$B, MATCH(F107,'Master_Menu Item'!$A:$A,0))</f>
        <v>Fast Food</v>
      </c>
      <c r="M107" s="5" t="str">
        <f t="shared" si="5"/>
        <v>Reena</v>
      </c>
      <c r="N107" s="5" t="str">
        <f>INDEX(Master_Branch!$C:$C, MATCH(D107,Master_Branch!$A:$A,0))</f>
        <v>Chennai</v>
      </c>
      <c r="O107" s="5" t="str">
        <f t="shared" si="6"/>
        <v>Friday</v>
      </c>
      <c r="P107" s="15">
        <f t="shared" si="7"/>
        <v>46143</v>
      </c>
      <c r="Q107" s="5" t="str">
        <f t="shared" si="8"/>
        <v>Fast</v>
      </c>
      <c r="R107" s="9" t="str">
        <f t="shared" si="9"/>
        <v>Good</v>
      </c>
    </row>
    <row r="108" spans="1:18">
      <c r="A108" s="5" t="s">
        <v>117</v>
      </c>
      <c r="B108" s="7">
        <v>46158</v>
      </c>
      <c r="C108" s="8">
        <v>0.52777777777777779</v>
      </c>
      <c r="D108" s="5" t="s">
        <v>203</v>
      </c>
      <c r="E108" s="5" t="s">
        <v>212</v>
      </c>
      <c r="F108" s="5" t="s">
        <v>216</v>
      </c>
      <c r="G108" s="5" t="s">
        <v>328</v>
      </c>
      <c r="H108" s="5">
        <v>160</v>
      </c>
      <c r="I108" s="5">
        <v>27</v>
      </c>
      <c r="J108" s="5">
        <v>2</v>
      </c>
      <c r="K108" s="5" t="s">
        <v>384</v>
      </c>
      <c r="L108" s="5" t="str">
        <f>INDEX('Master_Menu Item'!$B:$B, MATCH(F108,'Master_Menu Item'!$A:$A,0))</f>
        <v>North Indian</v>
      </c>
      <c r="M108" s="5" t="str">
        <f t="shared" si="5"/>
        <v>Rocky</v>
      </c>
      <c r="N108" s="5" t="str">
        <f>INDEX(Master_Branch!$C:$C, MATCH(D108,Master_Branch!$A:$A,0))</f>
        <v>Bengaluru</v>
      </c>
      <c r="O108" s="5" t="str">
        <f t="shared" si="6"/>
        <v>Saturday</v>
      </c>
      <c r="P108" s="15">
        <f t="shared" si="7"/>
        <v>46143</v>
      </c>
      <c r="Q108" s="5" t="str">
        <f t="shared" si="8"/>
        <v>Normal</v>
      </c>
      <c r="R108" s="9" t="str">
        <f t="shared" si="9"/>
        <v>Needs Improvement</v>
      </c>
    </row>
    <row r="109" spans="1:18">
      <c r="A109" s="5" t="s">
        <v>118</v>
      </c>
      <c r="B109" s="7">
        <v>46159</v>
      </c>
      <c r="C109" s="8">
        <v>0.5625</v>
      </c>
      <c r="D109" s="5" t="s">
        <v>203</v>
      </c>
      <c r="E109" s="5" t="s">
        <v>213</v>
      </c>
      <c r="F109" s="5" t="s">
        <v>214</v>
      </c>
      <c r="G109" s="5" t="s">
        <v>329</v>
      </c>
      <c r="H109" s="5">
        <v>221</v>
      </c>
      <c r="I109" s="5">
        <v>39</v>
      </c>
      <c r="J109" s="5">
        <v>1</v>
      </c>
      <c r="K109" s="5" t="s">
        <v>382</v>
      </c>
      <c r="L109" s="5" t="str">
        <f>INDEX('Master_Menu Item'!$B:$B, MATCH(F109,'Master_Menu Item'!$A:$A,0))</f>
        <v>South Indian</v>
      </c>
      <c r="M109" s="5" t="str">
        <f t="shared" si="5"/>
        <v>Mithilesh</v>
      </c>
      <c r="N109" s="5" t="str">
        <f>INDEX(Master_Branch!$C:$C, MATCH(D109,Master_Branch!$A:$A,0))</f>
        <v>Bengaluru</v>
      </c>
      <c r="O109" s="5" t="str">
        <f t="shared" si="6"/>
        <v>Sunday</v>
      </c>
      <c r="P109" s="15">
        <f t="shared" si="7"/>
        <v>46143</v>
      </c>
      <c r="Q109" s="5" t="str">
        <f t="shared" si="8"/>
        <v>Slow</v>
      </c>
      <c r="R109" s="9" t="str">
        <f t="shared" si="9"/>
        <v>Needs Improvement</v>
      </c>
    </row>
    <row r="110" spans="1:18">
      <c r="A110" s="5" t="s">
        <v>119</v>
      </c>
      <c r="B110" s="7">
        <v>46160</v>
      </c>
      <c r="C110" s="8">
        <v>0.6875</v>
      </c>
      <c r="D110" s="5" t="s">
        <v>207</v>
      </c>
      <c r="E110" s="5" t="s">
        <v>209</v>
      </c>
      <c r="F110" s="5" t="s">
        <v>215</v>
      </c>
      <c r="G110" s="5" t="s">
        <v>330</v>
      </c>
      <c r="H110" s="5">
        <v>135</v>
      </c>
      <c r="I110" s="5">
        <v>27</v>
      </c>
      <c r="J110" s="5">
        <v>4</v>
      </c>
      <c r="K110" s="5" t="s">
        <v>382</v>
      </c>
      <c r="L110" s="5" t="str">
        <f>INDEX('Master_Menu Item'!$B:$B, MATCH(F110,'Master_Menu Item'!$A:$A,0))</f>
        <v>Fast Food</v>
      </c>
      <c r="M110" s="5" t="str">
        <f t="shared" si="5"/>
        <v>Sourav</v>
      </c>
      <c r="N110" s="5" t="str">
        <f>INDEX(Master_Branch!$C:$C, MATCH(D110,Master_Branch!$A:$A,0))</f>
        <v>Kochi</v>
      </c>
      <c r="O110" s="5" t="str">
        <f t="shared" si="6"/>
        <v>Monday</v>
      </c>
      <c r="P110" s="15">
        <f t="shared" si="7"/>
        <v>46143</v>
      </c>
      <c r="Q110" s="5" t="str">
        <f t="shared" si="8"/>
        <v>Normal</v>
      </c>
      <c r="R110" s="9" t="str">
        <f t="shared" si="9"/>
        <v>Good</v>
      </c>
    </row>
    <row r="111" spans="1:18">
      <c r="A111" s="5" t="s">
        <v>120</v>
      </c>
      <c r="B111" s="7">
        <v>46161</v>
      </c>
      <c r="C111" s="8">
        <v>0.3888888888888889</v>
      </c>
      <c r="D111" s="5" t="s">
        <v>203</v>
      </c>
      <c r="E111" s="5" t="s">
        <v>210</v>
      </c>
      <c r="F111" s="5" t="s">
        <v>216</v>
      </c>
      <c r="G111" s="5" t="s">
        <v>331</v>
      </c>
      <c r="H111" s="5">
        <v>110</v>
      </c>
      <c r="I111" s="5">
        <v>27</v>
      </c>
      <c r="J111" s="5">
        <v>1</v>
      </c>
      <c r="K111" s="5" t="s">
        <v>383</v>
      </c>
      <c r="L111" s="5" t="str">
        <f>INDEX('Master_Menu Item'!$B:$B, MATCH(F111,'Master_Menu Item'!$A:$A,0))</f>
        <v>North Indian</v>
      </c>
      <c r="M111" s="5" t="str">
        <f t="shared" si="5"/>
        <v>Aadhya</v>
      </c>
      <c r="N111" s="5" t="str">
        <f>INDEX(Master_Branch!$C:$C, MATCH(D111,Master_Branch!$A:$A,0))</f>
        <v>Bengaluru</v>
      </c>
      <c r="O111" s="5" t="str">
        <f t="shared" si="6"/>
        <v>Tuesday</v>
      </c>
      <c r="P111" s="15">
        <f t="shared" si="7"/>
        <v>46143</v>
      </c>
      <c r="Q111" s="5" t="str">
        <f t="shared" si="8"/>
        <v>Normal</v>
      </c>
      <c r="R111" s="9" t="str">
        <f t="shared" si="9"/>
        <v>Needs Improvement</v>
      </c>
    </row>
    <row r="112" spans="1:18">
      <c r="A112" s="5" t="s">
        <v>121</v>
      </c>
      <c r="B112" s="7">
        <v>46162</v>
      </c>
      <c r="C112" s="8">
        <v>0.43055555555555558</v>
      </c>
      <c r="D112" s="5" t="s">
        <v>207</v>
      </c>
      <c r="E112" s="5" t="s">
        <v>211</v>
      </c>
      <c r="F112" s="5" t="s">
        <v>217</v>
      </c>
      <c r="G112" s="5" t="s">
        <v>332</v>
      </c>
      <c r="H112" s="5">
        <v>125</v>
      </c>
      <c r="I112" s="5">
        <v>18</v>
      </c>
      <c r="J112" s="5">
        <v>5</v>
      </c>
      <c r="K112" s="5" t="s">
        <v>382</v>
      </c>
      <c r="L112" s="5" t="str">
        <f>INDEX('Master_Menu Item'!$B:$B, MATCH(F112,'Master_Menu Item'!$A:$A,0))</f>
        <v>Chinese</v>
      </c>
      <c r="M112" s="5" t="str">
        <f t="shared" si="5"/>
        <v>Aditi</v>
      </c>
      <c r="N112" s="5" t="str">
        <f>INDEX(Master_Branch!$C:$C, MATCH(D112,Master_Branch!$A:$A,0))</f>
        <v>Kochi</v>
      </c>
      <c r="O112" s="5" t="str">
        <f t="shared" si="6"/>
        <v>Wednesday</v>
      </c>
      <c r="P112" s="15">
        <f t="shared" si="7"/>
        <v>46143</v>
      </c>
      <c r="Q112" s="5" t="str">
        <f t="shared" si="8"/>
        <v>Fast</v>
      </c>
      <c r="R112" s="9" t="str">
        <f t="shared" si="9"/>
        <v>Good</v>
      </c>
    </row>
    <row r="113" spans="1:18">
      <c r="A113" s="5" t="s">
        <v>122</v>
      </c>
      <c r="B113" s="7">
        <v>46163</v>
      </c>
      <c r="C113" s="8">
        <v>0.52083333333333337</v>
      </c>
      <c r="D113" s="5" t="s">
        <v>204</v>
      </c>
      <c r="E113" s="5" t="s">
        <v>212</v>
      </c>
      <c r="F113" s="5" t="s">
        <v>218</v>
      </c>
      <c r="G113" s="5" t="s">
        <v>333</v>
      </c>
      <c r="H113" s="5">
        <v>178</v>
      </c>
      <c r="I113" s="5">
        <v>26</v>
      </c>
      <c r="J113" s="5">
        <v>3</v>
      </c>
      <c r="K113" s="5" t="s">
        <v>383</v>
      </c>
      <c r="L113" s="5" t="str">
        <f>INDEX('Master_Menu Item'!$B:$B, MATCH(F113,'Master_Menu Item'!$A:$A,0))</f>
        <v>Deserts/Bakery</v>
      </c>
      <c r="M113" s="5" t="str">
        <f t="shared" si="5"/>
        <v>Akanksha</v>
      </c>
      <c r="N113" s="5" t="str">
        <f>INDEX(Master_Branch!$C:$C, MATCH(D113,Master_Branch!$A:$A,0))</f>
        <v>Hyderabad</v>
      </c>
      <c r="O113" s="5" t="str">
        <f t="shared" si="6"/>
        <v>Thursday</v>
      </c>
      <c r="P113" s="15">
        <f t="shared" si="7"/>
        <v>46143</v>
      </c>
      <c r="Q113" s="5" t="str">
        <f t="shared" si="8"/>
        <v>Normal</v>
      </c>
      <c r="R113" s="9" t="str">
        <f t="shared" si="9"/>
        <v>Needs Improvement</v>
      </c>
    </row>
    <row r="114" spans="1:18">
      <c r="A114" s="5" t="s">
        <v>123</v>
      </c>
      <c r="B114" s="7">
        <v>46164</v>
      </c>
      <c r="C114" s="8">
        <v>0.60416666666666663</v>
      </c>
      <c r="D114" s="5" t="s">
        <v>205</v>
      </c>
      <c r="E114" s="5" t="s">
        <v>213</v>
      </c>
      <c r="F114" s="5" t="s">
        <v>214</v>
      </c>
      <c r="G114" s="5" t="s">
        <v>334</v>
      </c>
      <c r="H114" s="5">
        <v>106</v>
      </c>
      <c r="I114" s="5">
        <v>19</v>
      </c>
      <c r="J114" s="5">
        <v>2</v>
      </c>
      <c r="K114" s="5" t="s">
        <v>384</v>
      </c>
      <c r="L114" s="5" t="str">
        <f>INDEX('Master_Menu Item'!$B:$B, MATCH(F114,'Master_Menu Item'!$A:$A,0))</f>
        <v>South Indian</v>
      </c>
      <c r="M114" s="5" t="str">
        <f t="shared" si="5"/>
        <v>Anjali</v>
      </c>
      <c r="N114" s="5" t="str">
        <f>INDEX(Master_Branch!$C:$C, MATCH(D114,Master_Branch!$A:$A,0))</f>
        <v>Vijaywada</v>
      </c>
      <c r="O114" s="5" t="str">
        <f t="shared" si="6"/>
        <v>Friday</v>
      </c>
      <c r="P114" s="15">
        <f t="shared" si="7"/>
        <v>46143</v>
      </c>
      <c r="Q114" s="5" t="str">
        <f t="shared" si="8"/>
        <v>Fast</v>
      </c>
      <c r="R114" s="9" t="str">
        <f t="shared" si="9"/>
        <v>Needs Improvement</v>
      </c>
    </row>
    <row r="115" spans="1:18">
      <c r="A115" s="5" t="s">
        <v>124</v>
      </c>
      <c r="B115" s="7">
        <v>46165</v>
      </c>
      <c r="C115" s="8">
        <v>0.47916666666666669</v>
      </c>
      <c r="D115" s="5" t="s">
        <v>206</v>
      </c>
      <c r="E115" s="5" t="s">
        <v>212</v>
      </c>
      <c r="F115" s="5" t="s">
        <v>217</v>
      </c>
      <c r="G115" s="5" t="s">
        <v>335</v>
      </c>
      <c r="H115" s="5">
        <v>144</v>
      </c>
      <c r="I115" s="5">
        <v>18</v>
      </c>
      <c r="J115" s="5">
        <v>4</v>
      </c>
      <c r="K115" s="5" t="s">
        <v>382</v>
      </c>
      <c r="L115" s="5" t="str">
        <f>INDEX('Master_Menu Item'!$B:$B, MATCH(F115,'Master_Menu Item'!$A:$A,0))</f>
        <v>Chinese</v>
      </c>
      <c r="M115" s="5" t="str">
        <f t="shared" si="5"/>
        <v>Ananya</v>
      </c>
      <c r="N115" s="5" t="str">
        <f>INDEX(Master_Branch!$C:$C, MATCH(D115,Master_Branch!$A:$A,0))</f>
        <v>Chennai</v>
      </c>
      <c r="O115" s="5" t="str">
        <f t="shared" si="6"/>
        <v>Saturday</v>
      </c>
      <c r="P115" s="15">
        <f t="shared" si="7"/>
        <v>46143</v>
      </c>
      <c r="Q115" s="5" t="str">
        <f t="shared" si="8"/>
        <v>Fast</v>
      </c>
      <c r="R115" s="9" t="str">
        <f t="shared" si="9"/>
        <v>Good</v>
      </c>
    </row>
    <row r="116" spans="1:18">
      <c r="A116" s="5" t="s">
        <v>125</v>
      </c>
      <c r="B116" s="7">
        <v>46166</v>
      </c>
      <c r="C116" s="8">
        <v>0.53125</v>
      </c>
      <c r="D116" s="5" t="s">
        <v>203</v>
      </c>
      <c r="E116" s="5" t="s">
        <v>213</v>
      </c>
      <c r="F116" s="5" t="s">
        <v>218</v>
      </c>
      <c r="G116" s="5" t="s">
        <v>336</v>
      </c>
      <c r="H116" s="5">
        <v>184</v>
      </c>
      <c r="I116" s="5">
        <v>27</v>
      </c>
      <c r="J116" s="5">
        <v>5</v>
      </c>
      <c r="K116" s="5" t="s">
        <v>382</v>
      </c>
      <c r="L116" s="5" t="str">
        <f>INDEX('Master_Menu Item'!$B:$B, MATCH(F116,'Master_Menu Item'!$A:$A,0))</f>
        <v>Deserts/Bakery</v>
      </c>
      <c r="M116" s="5" t="str">
        <f t="shared" si="5"/>
        <v>Anika</v>
      </c>
      <c r="N116" s="5" t="str">
        <f>INDEX(Master_Branch!$C:$C, MATCH(D116,Master_Branch!$A:$A,0))</f>
        <v>Bengaluru</v>
      </c>
      <c r="O116" s="5" t="str">
        <f t="shared" si="6"/>
        <v>Sunday</v>
      </c>
      <c r="P116" s="15">
        <f t="shared" si="7"/>
        <v>46143</v>
      </c>
      <c r="Q116" s="5" t="str">
        <f t="shared" si="8"/>
        <v>Normal</v>
      </c>
      <c r="R116" s="9" t="str">
        <f t="shared" si="9"/>
        <v>Good</v>
      </c>
    </row>
    <row r="117" spans="1:18">
      <c r="A117" s="5" t="s">
        <v>126</v>
      </c>
      <c r="B117" s="7">
        <v>46167</v>
      </c>
      <c r="C117" s="8">
        <v>0.35416666666666669</v>
      </c>
      <c r="D117" s="5" t="s">
        <v>203</v>
      </c>
      <c r="E117" s="5" t="s">
        <v>209</v>
      </c>
      <c r="F117" s="5" t="s">
        <v>214</v>
      </c>
      <c r="G117" s="5" t="s">
        <v>337</v>
      </c>
      <c r="H117" s="5">
        <v>268</v>
      </c>
      <c r="I117" s="5">
        <v>37</v>
      </c>
      <c r="J117" s="5">
        <v>4</v>
      </c>
      <c r="K117" s="5" t="s">
        <v>382</v>
      </c>
      <c r="L117" s="5" t="str">
        <f>INDEX('Master_Menu Item'!$B:$B, MATCH(F117,'Master_Menu Item'!$A:$A,0))</f>
        <v>South Indian</v>
      </c>
      <c r="M117" s="5" t="str">
        <f t="shared" si="5"/>
        <v>Damini</v>
      </c>
      <c r="N117" s="5" t="str">
        <f>INDEX(Master_Branch!$C:$C, MATCH(D117,Master_Branch!$A:$A,0))</f>
        <v>Bengaluru</v>
      </c>
      <c r="O117" s="5" t="str">
        <f t="shared" si="6"/>
        <v>Monday</v>
      </c>
      <c r="P117" s="15">
        <f t="shared" si="7"/>
        <v>46143</v>
      </c>
      <c r="Q117" s="5" t="str">
        <f t="shared" si="8"/>
        <v>Slow</v>
      </c>
      <c r="R117" s="9" t="str">
        <f t="shared" si="9"/>
        <v>Good</v>
      </c>
    </row>
    <row r="118" spans="1:18">
      <c r="A118" s="5" t="s">
        <v>127</v>
      </c>
      <c r="B118" s="7">
        <v>46168</v>
      </c>
      <c r="C118" s="8">
        <v>0.40625</v>
      </c>
      <c r="D118" s="5" t="s">
        <v>207</v>
      </c>
      <c r="E118" s="5" t="s">
        <v>210</v>
      </c>
      <c r="F118" s="5" t="s">
        <v>215</v>
      </c>
      <c r="G118" s="5" t="s">
        <v>338</v>
      </c>
      <c r="H118" s="5">
        <v>244</v>
      </c>
      <c r="I118" s="5">
        <v>18</v>
      </c>
      <c r="J118" s="5">
        <v>3</v>
      </c>
      <c r="K118" s="5" t="s">
        <v>382</v>
      </c>
      <c r="L118" s="5" t="str">
        <f>INDEX('Master_Menu Item'!$B:$B, MATCH(F118,'Master_Menu Item'!$A:$A,0))</f>
        <v>Fast Food</v>
      </c>
      <c r="M118" s="5" t="str">
        <f t="shared" si="5"/>
        <v>Dharmiki</v>
      </c>
      <c r="N118" s="5" t="str">
        <f>INDEX(Master_Branch!$C:$C, MATCH(D118,Master_Branch!$A:$A,0))</f>
        <v>Kochi</v>
      </c>
      <c r="O118" s="5" t="str">
        <f t="shared" si="6"/>
        <v>Tuesday</v>
      </c>
      <c r="P118" s="15">
        <f t="shared" si="7"/>
        <v>46143</v>
      </c>
      <c r="Q118" s="5" t="str">
        <f t="shared" si="8"/>
        <v>Fast</v>
      </c>
      <c r="R118" s="9" t="str">
        <f t="shared" si="9"/>
        <v>Needs Improvement</v>
      </c>
    </row>
    <row r="119" spans="1:18">
      <c r="A119" s="5" t="s">
        <v>128</v>
      </c>
      <c r="B119" s="7">
        <v>46169</v>
      </c>
      <c r="C119" s="8">
        <v>0.4375</v>
      </c>
      <c r="D119" s="5" t="s">
        <v>204</v>
      </c>
      <c r="E119" s="5" t="s">
        <v>211</v>
      </c>
      <c r="F119" s="5" t="s">
        <v>226</v>
      </c>
      <c r="G119" s="5" t="s">
        <v>339</v>
      </c>
      <c r="H119" s="5">
        <v>194</v>
      </c>
      <c r="I119" s="5">
        <v>26</v>
      </c>
      <c r="J119" s="5">
        <v>3</v>
      </c>
      <c r="K119" s="5" t="s">
        <v>383</v>
      </c>
      <c r="L119" s="5" t="str">
        <f>INDEX('Master_Menu Item'!$B:$B, MATCH(F119,'Master_Menu Item'!$A:$A,0))</f>
        <v>North Indian</v>
      </c>
      <c r="M119" s="5" t="str">
        <f t="shared" si="5"/>
        <v>Ishan</v>
      </c>
      <c r="N119" s="5" t="str">
        <f>INDEX(Master_Branch!$C:$C, MATCH(D119,Master_Branch!$A:$A,0))</f>
        <v>Hyderabad</v>
      </c>
      <c r="O119" s="5" t="str">
        <f t="shared" si="6"/>
        <v>Wednesday</v>
      </c>
      <c r="P119" s="15">
        <f t="shared" si="7"/>
        <v>46143</v>
      </c>
      <c r="Q119" s="5" t="str">
        <f t="shared" si="8"/>
        <v>Normal</v>
      </c>
      <c r="R119" s="9" t="str">
        <f t="shared" si="9"/>
        <v>Needs Improvement</v>
      </c>
    </row>
    <row r="120" spans="1:18">
      <c r="A120" s="5" t="s">
        <v>129</v>
      </c>
      <c r="B120" s="7">
        <v>46170</v>
      </c>
      <c r="C120" s="8">
        <v>0.52083333333333337</v>
      </c>
      <c r="D120" s="5" t="s">
        <v>204</v>
      </c>
      <c r="E120" s="5" t="s">
        <v>212</v>
      </c>
      <c r="F120" s="5" t="s">
        <v>227</v>
      </c>
      <c r="G120" s="5" t="s">
        <v>340</v>
      </c>
      <c r="H120" s="5">
        <v>136</v>
      </c>
      <c r="I120" s="5">
        <v>28</v>
      </c>
      <c r="J120" s="5">
        <v>4</v>
      </c>
      <c r="K120" s="5" t="s">
        <v>384</v>
      </c>
      <c r="L120" s="5" t="str">
        <f>INDEX('Master_Menu Item'!$B:$B, MATCH(F120,'Master_Menu Item'!$A:$A,0))</f>
        <v>Chinese</v>
      </c>
      <c r="M120" s="5" t="str">
        <f t="shared" si="5"/>
        <v>Sandhya</v>
      </c>
      <c r="N120" s="5" t="str">
        <f>INDEX(Master_Branch!$C:$C, MATCH(D120,Master_Branch!$A:$A,0))</f>
        <v>Hyderabad</v>
      </c>
      <c r="O120" s="5" t="str">
        <f t="shared" si="6"/>
        <v>Thursday</v>
      </c>
      <c r="P120" s="15">
        <f t="shared" si="7"/>
        <v>46143</v>
      </c>
      <c r="Q120" s="5" t="str">
        <f t="shared" si="8"/>
        <v>Normal</v>
      </c>
      <c r="R120" s="9" t="str">
        <f t="shared" si="9"/>
        <v>Good</v>
      </c>
    </row>
    <row r="121" spans="1:18">
      <c r="A121" s="5" t="s">
        <v>130</v>
      </c>
      <c r="B121" s="7">
        <v>46171</v>
      </c>
      <c r="C121" s="8">
        <v>0.47916666666666669</v>
      </c>
      <c r="D121" s="5" t="s">
        <v>205</v>
      </c>
      <c r="E121" s="5" t="s">
        <v>213</v>
      </c>
      <c r="F121" s="5" t="s">
        <v>218</v>
      </c>
      <c r="G121" s="5" t="s">
        <v>341</v>
      </c>
      <c r="H121" s="5">
        <v>241</v>
      </c>
      <c r="I121" s="5">
        <v>16</v>
      </c>
      <c r="J121" s="5">
        <v>3</v>
      </c>
      <c r="K121" s="5" t="s">
        <v>383</v>
      </c>
      <c r="L121" s="5" t="str">
        <f>INDEX('Master_Menu Item'!$B:$B, MATCH(F121,'Master_Menu Item'!$A:$A,0))</f>
        <v>Deserts/Bakery</v>
      </c>
      <c r="M121" s="5" t="str">
        <f t="shared" si="5"/>
        <v>Bhoomika</v>
      </c>
      <c r="N121" s="5" t="str">
        <f>INDEX(Master_Branch!$C:$C, MATCH(D121,Master_Branch!$A:$A,0))</f>
        <v>Vijaywada</v>
      </c>
      <c r="O121" s="5" t="str">
        <f t="shared" si="6"/>
        <v>Friday</v>
      </c>
      <c r="P121" s="15">
        <f t="shared" si="7"/>
        <v>46143</v>
      </c>
      <c r="Q121" s="5" t="str">
        <f t="shared" si="8"/>
        <v>Fast</v>
      </c>
      <c r="R121" s="9" t="str">
        <f t="shared" si="9"/>
        <v>Needs Improvement</v>
      </c>
    </row>
    <row r="122" spans="1:18">
      <c r="A122" s="5" t="s">
        <v>131</v>
      </c>
      <c r="B122" s="7">
        <v>46172</v>
      </c>
      <c r="C122" s="8">
        <v>0.52777777777777779</v>
      </c>
      <c r="D122" s="5" t="s">
        <v>206</v>
      </c>
      <c r="E122" s="5" t="s">
        <v>211</v>
      </c>
      <c r="F122" s="5" t="s">
        <v>409</v>
      </c>
      <c r="G122" s="5" t="s">
        <v>342</v>
      </c>
      <c r="H122" s="5">
        <v>278</v>
      </c>
      <c r="I122" s="5">
        <v>18</v>
      </c>
      <c r="J122" s="5">
        <v>3</v>
      </c>
      <c r="K122" s="5" t="s">
        <v>382</v>
      </c>
      <c r="L122" s="5" t="str">
        <f>INDEX('Master_Menu Item'!$B:$B, MATCH(F122,'Master_Menu Item'!$A:$A,0))</f>
        <v>Fast Food</v>
      </c>
      <c r="M122" s="5" t="str">
        <f t="shared" si="5"/>
        <v>Leela</v>
      </c>
      <c r="N122" s="5" t="str">
        <f>INDEX(Master_Branch!$C:$C, MATCH(D122,Master_Branch!$A:$A,0))</f>
        <v>Chennai</v>
      </c>
      <c r="O122" s="5" t="str">
        <f t="shared" si="6"/>
        <v>Saturday</v>
      </c>
      <c r="P122" s="15">
        <f t="shared" si="7"/>
        <v>46143</v>
      </c>
      <c r="Q122" s="5" t="str">
        <f t="shared" si="8"/>
        <v>Fast</v>
      </c>
      <c r="R122" s="9" t="str">
        <f t="shared" si="9"/>
        <v>Needs Improvement</v>
      </c>
    </row>
    <row r="123" spans="1:18">
      <c r="A123" s="5" t="s">
        <v>132</v>
      </c>
      <c r="B123" s="7">
        <v>46173</v>
      </c>
      <c r="C123" s="8">
        <v>0.5625</v>
      </c>
      <c r="D123" s="5" t="s">
        <v>203</v>
      </c>
      <c r="E123" s="5" t="s">
        <v>212</v>
      </c>
      <c r="F123" s="5" t="s">
        <v>226</v>
      </c>
      <c r="G123" s="5" t="s">
        <v>343</v>
      </c>
      <c r="H123" s="5">
        <v>130</v>
      </c>
      <c r="I123" s="5">
        <v>18</v>
      </c>
      <c r="J123" s="5">
        <v>4</v>
      </c>
      <c r="K123" s="5" t="s">
        <v>383</v>
      </c>
      <c r="L123" s="5" t="str">
        <f>INDEX('Master_Menu Item'!$B:$B, MATCH(F123,'Master_Menu Item'!$A:$A,0))</f>
        <v>North Indian</v>
      </c>
      <c r="M123" s="5" t="str">
        <f t="shared" si="5"/>
        <v>Akhila</v>
      </c>
      <c r="N123" s="5" t="str">
        <f>INDEX(Master_Branch!$C:$C, MATCH(D123,Master_Branch!$A:$A,0))</f>
        <v>Bengaluru</v>
      </c>
      <c r="O123" s="5" t="str">
        <f t="shared" si="6"/>
        <v>Sunday</v>
      </c>
      <c r="P123" s="15">
        <f t="shared" si="7"/>
        <v>46143</v>
      </c>
      <c r="Q123" s="5" t="str">
        <f t="shared" si="8"/>
        <v>Fast</v>
      </c>
      <c r="R123" s="9" t="str">
        <f t="shared" si="9"/>
        <v>Good</v>
      </c>
    </row>
    <row r="124" spans="1:18">
      <c r="A124" s="5" t="s">
        <v>133</v>
      </c>
      <c r="B124" s="7">
        <v>46174</v>
      </c>
      <c r="C124" s="8">
        <v>0.6875</v>
      </c>
      <c r="D124" s="5" t="s">
        <v>203</v>
      </c>
      <c r="E124" s="5" t="s">
        <v>213</v>
      </c>
      <c r="F124" s="5" t="s">
        <v>227</v>
      </c>
      <c r="G124" s="5" t="s">
        <v>344</v>
      </c>
      <c r="H124" s="5">
        <v>203</v>
      </c>
      <c r="I124" s="5">
        <v>27</v>
      </c>
      <c r="J124" s="5">
        <v>3</v>
      </c>
      <c r="K124" s="5" t="s">
        <v>382</v>
      </c>
      <c r="L124" s="5" t="str">
        <f>INDEX('Master_Menu Item'!$B:$B, MATCH(F124,'Master_Menu Item'!$A:$A,0))</f>
        <v>Chinese</v>
      </c>
      <c r="M124" s="5" t="str">
        <f t="shared" si="5"/>
        <v>Malvika</v>
      </c>
      <c r="N124" s="5" t="str">
        <f>INDEX(Master_Branch!$C:$C, MATCH(D124,Master_Branch!$A:$A,0))</f>
        <v>Bengaluru</v>
      </c>
      <c r="O124" s="5" t="str">
        <f t="shared" si="6"/>
        <v>Monday</v>
      </c>
      <c r="P124" s="15">
        <f t="shared" si="7"/>
        <v>46174</v>
      </c>
      <c r="Q124" s="5" t="str">
        <f t="shared" si="8"/>
        <v>Normal</v>
      </c>
      <c r="R124" s="9" t="str">
        <f t="shared" si="9"/>
        <v>Needs Improvement</v>
      </c>
    </row>
    <row r="125" spans="1:18">
      <c r="A125" s="5" t="s">
        <v>134</v>
      </c>
      <c r="B125" s="7">
        <v>46175</v>
      </c>
      <c r="C125" s="8">
        <v>0.3888888888888889</v>
      </c>
      <c r="D125" s="5" t="s">
        <v>207</v>
      </c>
      <c r="E125" s="5" t="s">
        <v>212</v>
      </c>
      <c r="F125" s="5" t="s">
        <v>218</v>
      </c>
      <c r="G125" s="5" t="s">
        <v>345</v>
      </c>
      <c r="H125" s="5">
        <v>214</v>
      </c>
      <c r="I125" s="5">
        <v>39</v>
      </c>
      <c r="J125" s="5">
        <v>2</v>
      </c>
      <c r="K125" s="5" t="s">
        <v>383</v>
      </c>
      <c r="L125" s="5" t="str">
        <f>INDEX('Master_Menu Item'!$B:$B, MATCH(F125,'Master_Menu Item'!$A:$A,0))</f>
        <v>Deserts/Bakery</v>
      </c>
      <c r="M125" s="5" t="str">
        <f t="shared" si="5"/>
        <v>Maya</v>
      </c>
      <c r="N125" s="5" t="str">
        <f>INDEX(Master_Branch!$C:$C, MATCH(D125,Master_Branch!$A:$A,0))</f>
        <v>Kochi</v>
      </c>
      <c r="O125" s="5" t="str">
        <f t="shared" si="6"/>
        <v>Tuesday</v>
      </c>
      <c r="P125" s="15">
        <f t="shared" si="7"/>
        <v>46174</v>
      </c>
      <c r="Q125" s="5" t="str">
        <f t="shared" si="8"/>
        <v>Slow</v>
      </c>
      <c r="R125" s="9" t="str">
        <f t="shared" si="9"/>
        <v>Needs Improvement</v>
      </c>
    </row>
    <row r="126" spans="1:18">
      <c r="A126" s="5" t="s">
        <v>135</v>
      </c>
      <c r="B126" s="7">
        <v>46176</v>
      </c>
      <c r="C126" s="8">
        <v>0.43055555555555558</v>
      </c>
      <c r="D126" s="5" t="s">
        <v>206</v>
      </c>
      <c r="E126" s="5" t="s">
        <v>213</v>
      </c>
      <c r="F126" s="5" t="s">
        <v>223</v>
      </c>
      <c r="G126" s="5" t="s">
        <v>346</v>
      </c>
      <c r="H126" s="5">
        <v>148</v>
      </c>
      <c r="I126" s="5">
        <v>27</v>
      </c>
      <c r="J126" s="5">
        <v>4</v>
      </c>
      <c r="K126" s="5" t="s">
        <v>384</v>
      </c>
      <c r="L126" s="5" t="str">
        <f>INDEX('Master_Menu Item'!$B:$B, MATCH(F126,'Master_Menu Item'!$A:$A,0))</f>
        <v>South Indian</v>
      </c>
      <c r="M126" s="5" t="str">
        <f t="shared" si="5"/>
        <v>Meera</v>
      </c>
      <c r="N126" s="5" t="str">
        <f>INDEX(Master_Branch!$C:$C, MATCH(D126,Master_Branch!$A:$A,0))</f>
        <v>Chennai</v>
      </c>
      <c r="O126" s="5" t="str">
        <f t="shared" si="6"/>
        <v>Wednesday</v>
      </c>
      <c r="P126" s="15">
        <f t="shared" si="7"/>
        <v>46174</v>
      </c>
      <c r="Q126" s="5" t="str">
        <f t="shared" si="8"/>
        <v>Normal</v>
      </c>
      <c r="R126" s="9" t="str">
        <f t="shared" si="9"/>
        <v>Good</v>
      </c>
    </row>
    <row r="127" spans="1:18">
      <c r="A127" s="5" t="s">
        <v>136</v>
      </c>
      <c r="B127" s="7">
        <v>46177</v>
      </c>
      <c r="C127" s="8">
        <v>0.56944444444444442</v>
      </c>
      <c r="D127" s="5" t="s">
        <v>203</v>
      </c>
      <c r="E127" s="5" t="s">
        <v>209</v>
      </c>
      <c r="F127" s="5" t="s">
        <v>215</v>
      </c>
      <c r="G127" s="5" t="s">
        <v>347</v>
      </c>
      <c r="H127" s="5">
        <v>288</v>
      </c>
      <c r="I127" s="5">
        <v>27</v>
      </c>
      <c r="J127" s="5">
        <v>5</v>
      </c>
      <c r="K127" s="5" t="s">
        <v>382</v>
      </c>
      <c r="L127" s="5" t="str">
        <f>INDEX('Master_Menu Item'!$B:$B, MATCH(F127,'Master_Menu Item'!$A:$A,0))</f>
        <v>Fast Food</v>
      </c>
      <c r="M127" s="5" t="str">
        <f t="shared" si="5"/>
        <v>Meenal</v>
      </c>
      <c r="N127" s="5" t="str">
        <f>INDEX(Master_Branch!$C:$C, MATCH(D127,Master_Branch!$A:$A,0))</f>
        <v>Bengaluru</v>
      </c>
      <c r="O127" s="5" t="str">
        <f t="shared" si="6"/>
        <v>Thursday</v>
      </c>
      <c r="P127" s="15">
        <f t="shared" si="7"/>
        <v>46174</v>
      </c>
      <c r="Q127" s="5" t="str">
        <f t="shared" si="8"/>
        <v>Normal</v>
      </c>
      <c r="R127" s="9" t="str">
        <f t="shared" si="9"/>
        <v>Good</v>
      </c>
    </row>
    <row r="128" spans="1:18">
      <c r="A128" s="5" t="s">
        <v>137</v>
      </c>
      <c r="B128" s="7">
        <v>46178</v>
      </c>
      <c r="C128" s="8">
        <v>0.52083333333333337</v>
      </c>
      <c r="D128" s="5" t="s">
        <v>207</v>
      </c>
      <c r="E128" s="5" t="s">
        <v>210</v>
      </c>
      <c r="F128" s="5" t="s">
        <v>216</v>
      </c>
      <c r="G128" s="5" t="s">
        <v>348</v>
      </c>
      <c r="H128" s="5">
        <v>125</v>
      </c>
      <c r="I128" s="5">
        <v>18</v>
      </c>
      <c r="J128" s="5">
        <v>3</v>
      </c>
      <c r="K128" s="5" t="s">
        <v>383</v>
      </c>
      <c r="L128" s="5" t="str">
        <f>INDEX('Master_Menu Item'!$B:$B, MATCH(F128,'Master_Menu Item'!$A:$A,0))</f>
        <v>North Indian</v>
      </c>
      <c r="M128" s="5" t="str">
        <f t="shared" si="5"/>
        <v>Muskan</v>
      </c>
      <c r="N128" s="5" t="str">
        <f>INDEX(Master_Branch!$C:$C, MATCH(D128,Master_Branch!$A:$A,0))</f>
        <v>Kochi</v>
      </c>
      <c r="O128" s="5" t="str">
        <f t="shared" si="6"/>
        <v>Friday</v>
      </c>
      <c r="P128" s="15">
        <f t="shared" si="7"/>
        <v>46174</v>
      </c>
      <c r="Q128" s="5" t="str">
        <f t="shared" si="8"/>
        <v>Fast</v>
      </c>
      <c r="R128" s="9" t="str">
        <f t="shared" si="9"/>
        <v>Needs Improvement</v>
      </c>
    </row>
    <row r="129" spans="1:18">
      <c r="A129" s="5" t="s">
        <v>138</v>
      </c>
      <c r="B129" s="7">
        <v>46179</v>
      </c>
      <c r="C129" s="8">
        <v>0.60416666666666663</v>
      </c>
      <c r="D129" s="5" t="s">
        <v>204</v>
      </c>
      <c r="E129" s="5" t="s">
        <v>211</v>
      </c>
      <c r="F129" s="5" t="s">
        <v>409</v>
      </c>
      <c r="G129" s="5" t="s">
        <v>349</v>
      </c>
      <c r="H129" s="5">
        <v>292</v>
      </c>
      <c r="I129" s="5">
        <v>26</v>
      </c>
      <c r="J129" s="5">
        <v>3</v>
      </c>
      <c r="K129" s="5" t="s">
        <v>383</v>
      </c>
      <c r="L129" s="5" t="str">
        <f>INDEX('Master_Menu Item'!$B:$B, MATCH(F129,'Master_Menu Item'!$A:$A,0))</f>
        <v>Fast Food</v>
      </c>
      <c r="M129" s="5" t="str">
        <f t="shared" si="5"/>
        <v>Mahima</v>
      </c>
      <c r="N129" s="5" t="str">
        <f>INDEX(Master_Branch!$C:$C, MATCH(D129,Master_Branch!$A:$A,0))</f>
        <v>Hyderabad</v>
      </c>
      <c r="O129" s="5" t="str">
        <f t="shared" si="6"/>
        <v>Saturday</v>
      </c>
      <c r="P129" s="15">
        <f t="shared" si="7"/>
        <v>46174</v>
      </c>
      <c r="Q129" s="5" t="str">
        <f t="shared" si="8"/>
        <v>Normal</v>
      </c>
      <c r="R129" s="9" t="str">
        <f t="shared" si="9"/>
        <v>Needs Improvement</v>
      </c>
    </row>
    <row r="130" spans="1:18">
      <c r="A130" s="5" t="s">
        <v>139</v>
      </c>
      <c r="B130" s="7">
        <v>46180</v>
      </c>
      <c r="C130" s="8">
        <v>0.47916666666666669</v>
      </c>
      <c r="D130" s="5" t="s">
        <v>205</v>
      </c>
      <c r="E130" s="5" t="s">
        <v>209</v>
      </c>
      <c r="F130" s="5" t="s">
        <v>226</v>
      </c>
      <c r="G130" s="5" t="s">
        <v>350</v>
      </c>
      <c r="H130" s="5">
        <v>214</v>
      </c>
      <c r="I130" s="5">
        <v>19</v>
      </c>
      <c r="J130" s="5">
        <v>3</v>
      </c>
      <c r="K130" s="5" t="s">
        <v>382</v>
      </c>
      <c r="L130" s="5" t="str">
        <f>INDEX('Master_Menu Item'!$B:$B, MATCH(F130,'Master_Menu Item'!$A:$A,0))</f>
        <v>North Indian</v>
      </c>
      <c r="M130" s="5" t="str">
        <f t="shared" si="5"/>
        <v>Pavani</v>
      </c>
      <c r="N130" s="5" t="str">
        <f>INDEX(Master_Branch!$C:$C, MATCH(D130,Master_Branch!$A:$A,0))</f>
        <v>Vijaywada</v>
      </c>
      <c r="O130" s="5" t="str">
        <f t="shared" si="6"/>
        <v>Sunday</v>
      </c>
      <c r="P130" s="15">
        <f t="shared" si="7"/>
        <v>46174</v>
      </c>
      <c r="Q130" s="5" t="str">
        <f t="shared" si="8"/>
        <v>Fast</v>
      </c>
      <c r="R130" s="9" t="str">
        <f t="shared" si="9"/>
        <v>Needs Improvement</v>
      </c>
    </row>
    <row r="131" spans="1:18">
      <c r="A131" s="5" t="s">
        <v>140</v>
      </c>
      <c r="B131" s="7">
        <v>46181</v>
      </c>
      <c r="C131" s="8">
        <v>0.53125</v>
      </c>
      <c r="D131" s="5" t="s">
        <v>206</v>
      </c>
      <c r="E131" s="5" t="s">
        <v>211</v>
      </c>
      <c r="F131" s="5" t="s">
        <v>227</v>
      </c>
      <c r="G131" s="5" t="s">
        <v>351</v>
      </c>
      <c r="H131" s="5">
        <v>260</v>
      </c>
      <c r="I131" s="5">
        <v>18</v>
      </c>
      <c r="J131" s="5">
        <v>4</v>
      </c>
      <c r="K131" s="5" t="s">
        <v>383</v>
      </c>
      <c r="L131" s="5" t="str">
        <f>INDEX('Master_Menu Item'!$B:$B, MATCH(F131,'Master_Menu Item'!$A:$A,0))</f>
        <v>Chinese</v>
      </c>
      <c r="M131" s="5" t="str">
        <f t="shared" ref="M131:M161" si="10">PROPER(TRIM(G131))</f>
        <v>Kriti</v>
      </c>
      <c r="N131" s="5" t="str">
        <f>INDEX(Master_Branch!$C:$C, MATCH(D131,Master_Branch!$A:$A,0))</f>
        <v>Chennai</v>
      </c>
      <c r="O131" s="5" t="str">
        <f t="shared" ref="O131:O161" si="11">TEXT(B131,"dddd")</f>
        <v>Monday</v>
      </c>
      <c r="P131" s="15">
        <f t="shared" ref="P131:P161" si="12">DATE(YEAR(B131),MONTH(B131),1)</f>
        <v>46174</v>
      </c>
      <c r="Q131" s="5" t="str">
        <f t="shared" ref="Q131:Q161" si="13">_xlfn.IFS(I131&lt;=20,"Fast", I131&lt;=35,"Normal", I131&gt;35,"Slow")</f>
        <v>Fast</v>
      </c>
      <c r="R131" s="9" t="str">
        <f t="shared" ref="R131:R161" si="14">IF(J131&gt;=4,"Good","Needs Improvement")</f>
        <v>Good</v>
      </c>
    </row>
    <row r="132" spans="1:18">
      <c r="A132" s="5" t="s">
        <v>141</v>
      </c>
      <c r="B132" s="7">
        <v>46182</v>
      </c>
      <c r="C132" s="8">
        <v>0.35416666666666669</v>
      </c>
      <c r="D132" s="5" t="s">
        <v>203</v>
      </c>
      <c r="E132" s="5" t="s">
        <v>213</v>
      </c>
      <c r="F132" s="5" t="s">
        <v>218</v>
      </c>
      <c r="G132" s="5" t="s">
        <v>352</v>
      </c>
      <c r="H132" s="5">
        <v>131</v>
      </c>
      <c r="I132" s="5">
        <v>27</v>
      </c>
      <c r="J132" s="5">
        <v>3</v>
      </c>
      <c r="K132" s="5" t="s">
        <v>384</v>
      </c>
      <c r="L132" s="5" t="str">
        <f>INDEX('Master_Menu Item'!$B:$B, MATCH(F132,'Master_Menu Item'!$A:$A,0))</f>
        <v>Deserts/Bakery</v>
      </c>
      <c r="M132" s="5" t="str">
        <f t="shared" si="10"/>
        <v>Kanika</v>
      </c>
      <c r="N132" s="5" t="str">
        <f>INDEX(Master_Branch!$C:$C, MATCH(D132,Master_Branch!$A:$A,0))</f>
        <v>Bengaluru</v>
      </c>
      <c r="O132" s="5" t="str">
        <f t="shared" si="11"/>
        <v>Tuesday</v>
      </c>
      <c r="P132" s="15">
        <f t="shared" si="12"/>
        <v>46174</v>
      </c>
      <c r="Q132" s="5" t="str">
        <f t="shared" si="13"/>
        <v>Normal</v>
      </c>
      <c r="R132" s="9" t="str">
        <f t="shared" si="14"/>
        <v>Needs Improvement</v>
      </c>
    </row>
    <row r="133" spans="1:18">
      <c r="A133" s="5" t="s">
        <v>142</v>
      </c>
      <c r="B133" s="7">
        <v>46183</v>
      </c>
      <c r="C133" s="8">
        <v>0.52083333333333337</v>
      </c>
      <c r="D133" s="5" t="s">
        <v>203</v>
      </c>
      <c r="E133" s="5" t="s">
        <v>212</v>
      </c>
      <c r="F133" s="5" t="s">
        <v>223</v>
      </c>
      <c r="G133" s="5" t="s">
        <v>353</v>
      </c>
      <c r="H133" s="5">
        <v>102</v>
      </c>
      <c r="I133" s="5">
        <v>37</v>
      </c>
      <c r="J133" s="5">
        <v>2</v>
      </c>
      <c r="K133" s="5" t="s">
        <v>382</v>
      </c>
      <c r="L133" s="5" t="str">
        <f>INDEX('Master_Menu Item'!$B:$B, MATCH(F133,'Master_Menu Item'!$A:$A,0))</f>
        <v>South Indian</v>
      </c>
      <c r="M133" s="5" t="str">
        <f t="shared" si="10"/>
        <v>Nandini</v>
      </c>
      <c r="N133" s="5" t="str">
        <f>INDEX(Master_Branch!$C:$C, MATCH(D133,Master_Branch!$A:$A,0))</f>
        <v>Bengaluru</v>
      </c>
      <c r="O133" s="5" t="str">
        <f t="shared" si="11"/>
        <v>Wednesday</v>
      </c>
      <c r="P133" s="15">
        <f t="shared" si="12"/>
        <v>46174</v>
      </c>
      <c r="Q133" s="5" t="str">
        <f t="shared" si="13"/>
        <v>Slow</v>
      </c>
      <c r="R133" s="9" t="str">
        <f t="shared" si="14"/>
        <v>Needs Improvement</v>
      </c>
    </row>
    <row r="134" spans="1:18">
      <c r="A134" s="5" t="s">
        <v>143</v>
      </c>
      <c r="B134" s="7">
        <v>46184</v>
      </c>
      <c r="C134" s="8">
        <v>0.84722222222222221</v>
      </c>
      <c r="D134" s="5" t="s">
        <v>207</v>
      </c>
      <c r="E134" s="5" t="s">
        <v>210</v>
      </c>
      <c r="F134" s="5" t="s">
        <v>215</v>
      </c>
      <c r="G134" s="5" t="s">
        <v>354</v>
      </c>
      <c r="H134" s="5">
        <v>170</v>
      </c>
      <c r="I134" s="5">
        <v>18</v>
      </c>
      <c r="J134" s="5">
        <v>4</v>
      </c>
      <c r="K134" s="5" t="s">
        <v>383</v>
      </c>
      <c r="L134" s="5" t="str">
        <f>INDEX('Master_Menu Item'!$B:$B, MATCH(F134,'Master_Menu Item'!$A:$A,0))</f>
        <v>Fast Food</v>
      </c>
      <c r="M134" s="5" t="str">
        <f t="shared" si="10"/>
        <v>Navya</v>
      </c>
      <c r="N134" s="5" t="str">
        <f>INDEX(Master_Branch!$C:$C, MATCH(D134,Master_Branch!$A:$A,0))</f>
        <v>Kochi</v>
      </c>
      <c r="O134" s="5" t="str">
        <f t="shared" si="11"/>
        <v>Thursday</v>
      </c>
      <c r="P134" s="15">
        <f t="shared" si="12"/>
        <v>46174</v>
      </c>
      <c r="Q134" s="5" t="str">
        <f t="shared" si="13"/>
        <v>Fast</v>
      </c>
      <c r="R134" s="9" t="str">
        <f t="shared" si="14"/>
        <v>Good</v>
      </c>
    </row>
    <row r="135" spans="1:18">
      <c r="A135" s="5" t="s">
        <v>144</v>
      </c>
      <c r="B135" s="7">
        <v>46185</v>
      </c>
      <c r="C135" s="8">
        <v>0.88541666666666663</v>
      </c>
      <c r="D135" s="5" t="s">
        <v>204</v>
      </c>
      <c r="E135" s="5" t="s">
        <v>210</v>
      </c>
      <c r="F135" s="5" t="s">
        <v>216</v>
      </c>
      <c r="G135" s="5" t="s">
        <v>355</v>
      </c>
      <c r="H135" s="5">
        <v>115</v>
      </c>
      <c r="I135" s="5">
        <v>26</v>
      </c>
      <c r="J135" s="5">
        <v>3</v>
      </c>
      <c r="K135" s="5" t="s">
        <v>384</v>
      </c>
      <c r="L135" s="5" t="str">
        <f>INDEX('Master_Menu Item'!$B:$B, MATCH(F135,'Master_Menu Item'!$A:$A,0))</f>
        <v>North Indian</v>
      </c>
      <c r="M135" s="5" t="str">
        <f t="shared" si="10"/>
        <v>Niharika</v>
      </c>
      <c r="N135" s="5" t="str">
        <f>INDEX(Master_Branch!$C:$C, MATCH(D135,Master_Branch!$A:$A,0))</f>
        <v>Hyderabad</v>
      </c>
      <c r="O135" s="5" t="str">
        <f t="shared" si="11"/>
        <v>Friday</v>
      </c>
      <c r="P135" s="15">
        <f t="shared" si="12"/>
        <v>46174</v>
      </c>
      <c r="Q135" s="5" t="str">
        <f t="shared" si="13"/>
        <v>Normal</v>
      </c>
      <c r="R135" s="9" t="str">
        <f t="shared" si="14"/>
        <v>Needs Improvement</v>
      </c>
    </row>
    <row r="136" spans="1:18">
      <c r="A136" s="5" t="s">
        <v>145</v>
      </c>
      <c r="B136" s="7">
        <v>46186</v>
      </c>
      <c r="C136" s="8">
        <v>0.92361111111111116</v>
      </c>
      <c r="D136" s="5" t="s">
        <v>204</v>
      </c>
      <c r="E136" s="5" t="s">
        <v>211</v>
      </c>
      <c r="F136" s="5" t="s">
        <v>214</v>
      </c>
      <c r="G136" s="5" t="s">
        <v>356</v>
      </c>
      <c r="H136" s="5">
        <v>179</v>
      </c>
      <c r="I136" s="5">
        <v>28</v>
      </c>
      <c r="J136" s="5">
        <v>2</v>
      </c>
      <c r="K136" s="5" t="s">
        <v>383</v>
      </c>
      <c r="L136" s="5" t="str">
        <f>INDEX('Master_Menu Item'!$B:$B, MATCH(F136,'Master_Menu Item'!$A:$A,0))</f>
        <v>South Indian</v>
      </c>
      <c r="M136" s="5" t="str">
        <f t="shared" si="10"/>
        <v>Sreeja</v>
      </c>
      <c r="N136" s="5" t="str">
        <f>INDEX(Master_Branch!$C:$C, MATCH(D136,Master_Branch!$A:$A,0))</f>
        <v>Hyderabad</v>
      </c>
      <c r="O136" s="5" t="str">
        <f t="shared" si="11"/>
        <v>Saturday</v>
      </c>
      <c r="P136" s="15">
        <f t="shared" si="12"/>
        <v>46174</v>
      </c>
      <c r="Q136" s="5" t="str">
        <f t="shared" si="13"/>
        <v>Normal</v>
      </c>
      <c r="R136" s="9" t="str">
        <f t="shared" si="14"/>
        <v>Needs Improvement</v>
      </c>
    </row>
    <row r="137" spans="1:18">
      <c r="A137" s="5" t="s">
        <v>146</v>
      </c>
      <c r="B137" s="7">
        <v>46187</v>
      </c>
      <c r="C137" s="8">
        <v>0.52083333333333337</v>
      </c>
      <c r="D137" s="5" t="s">
        <v>205</v>
      </c>
      <c r="E137" s="5" t="s">
        <v>212</v>
      </c>
      <c r="F137" s="5" t="s">
        <v>409</v>
      </c>
      <c r="G137" s="5" t="s">
        <v>357</v>
      </c>
      <c r="H137" s="5">
        <v>242</v>
      </c>
      <c r="I137" s="5">
        <v>16</v>
      </c>
      <c r="J137" s="5">
        <v>3</v>
      </c>
      <c r="K137" s="5" t="s">
        <v>383</v>
      </c>
      <c r="L137" s="5" t="str">
        <f>INDEX('Master_Menu Item'!$B:$B, MATCH(F137,'Master_Menu Item'!$A:$A,0))</f>
        <v>Fast Food</v>
      </c>
      <c r="M137" s="5" t="str">
        <f t="shared" si="10"/>
        <v>Dharam</v>
      </c>
      <c r="N137" s="5" t="str">
        <f>INDEX(Master_Branch!$C:$C, MATCH(D137,Master_Branch!$A:$A,0))</f>
        <v>Vijaywada</v>
      </c>
      <c r="O137" s="5" t="str">
        <f t="shared" si="11"/>
        <v>Sunday</v>
      </c>
      <c r="P137" s="15">
        <f t="shared" si="12"/>
        <v>46174</v>
      </c>
      <c r="Q137" s="5" t="str">
        <f t="shared" si="13"/>
        <v>Fast</v>
      </c>
      <c r="R137" s="9" t="str">
        <f t="shared" si="14"/>
        <v>Needs Improvement</v>
      </c>
    </row>
    <row r="138" spans="1:18">
      <c r="A138" s="5" t="s">
        <v>147</v>
      </c>
      <c r="B138" s="7">
        <v>46188</v>
      </c>
      <c r="C138" s="8">
        <v>0.44791666666666669</v>
      </c>
      <c r="D138" s="5" t="s">
        <v>206</v>
      </c>
      <c r="E138" s="5" t="s">
        <v>213</v>
      </c>
      <c r="F138" s="5" t="s">
        <v>226</v>
      </c>
      <c r="G138" s="5" t="s">
        <v>358</v>
      </c>
      <c r="H138" s="5">
        <v>196</v>
      </c>
      <c r="I138" s="5">
        <v>18</v>
      </c>
      <c r="J138" s="5">
        <v>5</v>
      </c>
      <c r="K138" s="5" t="s">
        <v>382</v>
      </c>
      <c r="L138" s="5" t="str">
        <f>INDEX('Master_Menu Item'!$B:$B, MATCH(F138,'Master_Menu Item'!$A:$A,0))</f>
        <v>North Indian</v>
      </c>
      <c r="M138" s="5" t="str">
        <f t="shared" si="10"/>
        <v>Vaishnav</v>
      </c>
      <c r="N138" s="5" t="str">
        <f>INDEX(Master_Branch!$C:$C, MATCH(D138,Master_Branch!$A:$A,0))</f>
        <v>Chennai</v>
      </c>
      <c r="O138" s="5" t="str">
        <f t="shared" si="11"/>
        <v>Monday</v>
      </c>
      <c r="P138" s="15">
        <f t="shared" si="12"/>
        <v>46174</v>
      </c>
      <c r="Q138" s="5" t="str">
        <f t="shared" si="13"/>
        <v>Fast</v>
      </c>
      <c r="R138" s="9" t="str">
        <f t="shared" si="14"/>
        <v>Good</v>
      </c>
    </row>
    <row r="139" spans="1:18">
      <c r="A139" s="5" t="s">
        <v>148</v>
      </c>
      <c r="B139" s="7">
        <v>46189</v>
      </c>
      <c r="C139" s="8">
        <v>0.47916666666666669</v>
      </c>
      <c r="D139" s="5" t="s">
        <v>203</v>
      </c>
      <c r="E139" s="5" t="s">
        <v>209</v>
      </c>
      <c r="F139" s="5" t="s">
        <v>227</v>
      </c>
      <c r="G139" s="5" t="s">
        <v>359</v>
      </c>
      <c r="H139" s="5">
        <v>214</v>
      </c>
      <c r="I139" s="5">
        <v>18</v>
      </c>
      <c r="J139" s="5">
        <v>4</v>
      </c>
      <c r="K139" s="5" t="s">
        <v>383</v>
      </c>
      <c r="L139" s="5" t="str">
        <f>INDEX('Master_Menu Item'!$B:$B, MATCH(F139,'Master_Menu Item'!$A:$A,0))</f>
        <v>Chinese</v>
      </c>
      <c r="M139" s="5" t="str">
        <f t="shared" si="10"/>
        <v>Payal</v>
      </c>
      <c r="N139" s="5" t="str">
        <f>INDEX(Master_Branch!$C:$C, MATCH(D139,Master_Branch!$A:$A,0))</f>
        <v>Bengaluru</v>
      </c>
      <c r="O139" s="5" t="str">
        <f t="shared" si="11"/>
        <v>Tuesday</v>
      </c>
      <c r="P139" s="15">
        <f t="shared" si="12"/>
        <v>46174</v>
      </c>
      <c r="Q139" s="5" t="str">
        <f t="shared" si="13"/>
        <v>Fast</v>
      </c>
      <c r="R139" s="9" t="str">
        <f t="shared" si="14"/>
        <v>Good</v>
      </c>
    </row>
    <row r="140" spans="1:18">
      <c r="A140" s="5" t="s">
        <v>149</v>
      </c>
      <c r="B140" s="10">
        <v>46190</v>
      </c>
      <c r="C140" s="8">
        <v>0.5</v>
      </c>
      <c r="D140" s="5" t="s">
        <v>203</v>
      </c>
      <c r="E140" s="5" t="s">
        <v>210</v>
      </c>
      <c r="F140" s="5" t="s">
        <v>218</v>
      </c>
      <c r="G140" s="5" t="s">
        <v>360</v>
      </c>
      <c r="H140" s="5">
        <v>131</v>
      </c>
      <c r="I140" s="5">
        <v>27</v>
      </c>
      <c r="J140" s="5">
        <v>3</v>
      </c>
      <c r="K140" s="5" t="s">
        <v>384</v>
      </c>
      <c r="L140" s="5" t="str">
        <f>INDEX('Master_Menu Item'!$B:$B, MATCH(F140,'Master_Menu Item'!$A:$A,0))</f>
        <v>Deserts/Bakery</v>
      </c>
      <c r="M140" s="5" t="str">
        <f t="shared" si="10"/>
        <v>Poonam</v>
      </c>
      <c r="N140" s="5" t="str">
        <f>INDEX(Master_Branch!$C:$C, MATCH(D140,Master_Branch!$A:$A,0))</f>
        <v>Bengaluru</v>
      </c>
      <c r="O140" s="5" t="str">
        <f t="shared" si="11"/>
        <v>Wednesday</v>
      </c>
      <c r="P140" s="15">
        <f t="shared" si="12"/>
        <v>46174</v>
      </c>
      <c r="Q140" s="5" t="str">
        <f t="shared" si="13"/>
        <v>Normal</v>
      </c>
      <c r="R140" s="9" t="str">
        <f t="shared" si="14"/>
        <v>Needs Improvement</v>
      </c>
    </row>
    <row r="141" spans="1:18">
      <c r="A141" s="5" t="s">
        <v>150</v>
      </c>
      <c r="B141" s="7">
        <v>46191</v>
      </c>
      <c r="C141" s="8">
        <v>0.59722222222222221</v>
      </c>
      <c r="D141" s="5" t="s">
        <v>207</v>
      </c>
      <c r="E141" s="5" t="s">
        <v>211</v>
      </c>
      <c r="F141" s="5" t="s">
        <v>223</v>
      </c>
      <c r="G141" s="5" t="s">
        <v>361</v>
      </c>
      <c r="H141" s="5">
        <v>121</v>
      </c>
      <c r="I141" s="5">
        <v>39</v>
      </c>
      <c r="J141" s="5">
        <v>3</v>
      </c>
      <c r="K141" s="5" t="s">
        <v>382</v>
      </c>
      <c r="L141" s="5" t="str">
        <f>INDEX('Master_Menu Item'!$B:$B, MATCH(F141,'Master_Menu Item'!$A:$A,0))</f>
        <v>South Indian</v>
      </c>
      <c r="M141" s="5" t="str">
        <f t="shared" si="10"/>
        <v>Prachi</v>
      </c>
      <c r="N141" s="5" t="str">
        <f>INDEX(Master_Branch!$C:$C, MATCH(D141,Master_Branch!$A:$A,0))</f>
        <v>Kochi</v>
      </c>
      <c r="O141" s="5" t="str">
        <f t="shared" si="11"/>
        <v>Thursday</v>
      </c>
      <c r="P141" s="15">
        <f t="shared" si="12"/>
        <v>46174</v>
      </c>
      <c r="Q141" s="5" t="str">
        <f t="shared" si="13"/>
        <v>Slow</v>
      </c>
      <c r="R141" s="9" t="str">
        <f t="shared" si="14"/>
        <v>Needs Improvement</v>
      </c>
    </row>
    <row r="142" spans="1:18">
      <c r="A142" s="5" t="s">
        <v>151</v>
      </c>
      <c r="B142" s="7">
        <v>46192</v>
      </c>
      <c r="C142" s="8">
        <v>0.64513888888888893</v>
      </c>
      <c r="D142" s="5" t="s">
        <v>204</v>
      </c>
      <c r="E142" s="5" t="s">
        <v>212</v>
      </c>
      <c r="F142" s="5" t="s">
        <v>215</v>
      </c>
      <c r="G142" s="5" t="s">
        <v>362</v>
      </c>
      <c r="H142" s="5">
        <v>132</v>
      </c>
      <c r="I142" s="5">
        <v>27</v>
      </c>
      <c r="J142" s="5">
        <v>4</v>
      </c>
      <c r="K142" s="5" t="s">
        <v>383</v>
      </c>
      <c r="L142" s="5" t="str">
        <f>INDEX('Master_Menu Item'!$B:$B, MATCH(F142,'Master_Menu Item'!$A:$A,0))</f>
        <v>Fast Food</v>
      </c>
      <c r="M142" s="5" t="str">
        <f t="shared" si="10"/>
        <v>Rachana</v>
      </c>
      <c r="N142" s="5" t="str">
        <f>INDEX(Master_Branch!$C:$C, MATCH(D142,Master_Branch!$A:$A,0))</f>
        <v>Hyderabad</v>
      </c>
      <c r="O142" s="5" t="str">
        <f t="shared" si="11"/>
        <v>Friday</v>
      </c>
      <c r="P142" s="15">
        <f t="shared" si="12"/>
        <v>46174</v>
      </c>
      <c r="Q142" s="5" t="str">
        <f t="shared" si="13"/>
        <v>Normal</v>
      </c>
      <c r="R142" s="9" t="str">
        <f t="shared" si="14"/>
        <v>Good</v>
      </c>
    </row>
    <row r="143" spans="1:18">
      <c r="A143" s="5" t="s">
        <v>152</v>
      </c>
      <c r="B143" s="7">
        <v>46193</v>
      </c>
      <c r="C143" s="8">
        <v>0.62638888888888888</v>
      </c>
      <c r="D143" s="5" t="s">
        <v>204</v>
      </c>
      <c r="E143" s="5" t="s">
        <v>213</v>
      </c>
      <c r="F143" s="5" t="s">
        <v>216</v>
      </c>
      <c r="G143" s="5" t="s">
        <v>363</v>
      </c>
      <c r="H143" s="5">
        <v>260</v>
      </c>
      <c r="I143" s="5">
        <v>23</v>
      </c>
      <c r="J143" s="5">
        <v>3</v>
      </c>
      <c r="K143" s="5" t="s">
        <v>384</v>
      </c>
      <c r="L143" s="5" t="str">
        <f>INDEX('Master_Menu Item'!$B:$B, MATCH(F143,'Master_Menu Item'!$A:$A,0))</f>
        <v>North Indian</v>
      </c>
      <c r="M143" s="5" t="str">
        <f t="shared" si="10"/>
        <v>Suma</v>
      </c>
      <c r="N143" s="5" t="str">
        <f>INDEX(Master_Branch!$C:$C, MATCH(D143,Master_Branch!$A:$A,0))</f>
        <v>Hyderabad</v>
      </c>
      <c r="O143" s="5" t="str">
        <f t="shared" si="11"/>
        <v>Saturday</v>
      </c>
      <c r="P143" s="15">
        <f t="shared" si="12"/>
        <v>46174</v>
      </c>
      <c r="Q143" s="5" t="str">
        <f t="shared" si="13"/>
        <v>Normal</v>
      </c>
      <c r="R143" s="9" t="str">
        <f t="shared" si="14"/>
        <v>Needs Improvement</v>
      </c>
    </row>
    <row r="144" spans="1:18">
      <c r="A144" s="5" t="s">
        <v>153</v>
      </c>
      <c r="B144" s="7">
        <v>46194</v>
      </c>
      <c r="C144" s="8">
        <v>0.52500000000000002</v>
      </c>
      <c r="D144" s="5" t="s">
        <v>203</v>
      </c>
      <c r="E144" s="5" t="s">
        <v>209</v>
      </c>
      <c r="F144" s="5" t="s">
        <v>409</v>
      </c>
      <c r="G144" s="5" t="s">
        <v>364</v>
      </c>
      <c r="H144" s="5">
        <v>144</v>
      </c>
      <c r="I144" s="5">
        <v>27</v>
      </c>
      <c r="J144" s="5">
        <v>3</v>
      </c>
      <c r="K144" s="5" t="s">
        <v>382</v>
      </c>
      <c r="L144" s="5" t="str">
        <f>INDEX('Master_Menu Item'!$B:$B, MATCH(F144,'Master_Menu Item'!$A:$A,0))</f>
        <v>Fast Food</v>
      </c>
      <c r="M144" s="5" t="str">
        <f t="shared" si="10"/>
        <v>Samantha</v>
      </c>
      <c r="N144" s="5" t="str">
        <f>INDEX(Master_Branch!$C:$C, MATCH(D144,Master_Branch!$A:$A,0))</f>
        <v>Bengaluru</v>
      </c>
      <c r="O144" s="5" t="str">
        <f t="shared" si="11"/>
        <v>Sunday</v>
      </c>
      <c r="P144" s="15">
        <f t="shared" si="12"/>
        <v>46174</v>
      </c>
      <c r="Q144" s="5" t="str">
        <f t="shared" si="13"/>
        <v>Normal</v>
      </c>
      <c r="R144" s="9" t="str">
        <f t="shared" si="14"/>
        <v>Needs Improvement</v>
      </c>
    </row>
    <row r="145" spans="1:18">
      <c r="A145" s="5" t="s">
        <v>154</v>
      </c>
      <c r="B145" s="10">
        <v>46195</v>
      </c>
      <c r="C145" s="8">
        <v>0.6694444444444444</v>
      </c>
      <c r="D145" s="5" t="s">
        <v>207</v>
      </c>
      <c r="E145" s="5" t="s">
        <v>210</v>
      </c>
      <c r="F145" s="5" t="s">
        <v>226</v>
      </c>
      <c r="G145" s="5" t="s">
        <v>365</v>
      </c>
      <c r="H145" s="5">
        <v>161</v>
      </c>
      <c r="I145" s="5">
        <v>18</v>
      </c>
      <c r="J145" s="5">
        <v>5</v>
      </c>
      <c r="K145" s="5" t="s">
        <v>382</v>
      </c>
      <c r="L145" s="5" t="str">
        <f>INDEX('Master_Menu Item'!$B:$B, MATCH(F145,'Master_Menu Item'!$A:$A,0))</f>
        <v>North Indian</v>
      </c>
      <c r="M145" s="5" t="str">
        <f t="shared" si="10"/>
        <v>Trisha</v>
      </c>
      <c r="N145" s="5" t="str">
        <f>INDEX(Master_Branch!$C:$C, MATCH(D145,Master_Branch!$A:$A,0))</f>
        <v>Kochi</v>
      </c>
      <c r="O145" s="5" t="str">
        <f t="shared" si="11"/>
        <v>Monday</v>
      </c>
      <c r="P145" s="15">
        <f t="shared" si="12"/>
        <v>46174</v>
      </c>
      <c r="Q145" s="5" t="str">
        <f t="shared" si="13"/>
        <v>Fast</v>
      </c>
      <c r="R145" s="9" t="str">
        <f t="shared" si="14"/>
        <v>Good</v>
      </c>
    </row>
    <row r="146" spans="1:18">
      <c r="A146" s="5" t="s">
        <v>155</v>
      </c>
      <c r="B146" s="7">
        <v>46196</v>
      </c>
      <c r="C146" s="8">
        <v>0.67361111111111116</v>
      </c>
      <c r="D146" s="5" t="s">
        <v>204</v>
      </c>
      <c r="E146" s="5" t="s">
        <v>211</v>
      </c>
      <c r="F146" s="5" t="s">
        <v>227</v>
      </c>
      <c r="G146" s="5" t="s">
        <v>366</v>
      </c>
      <c r="H146" s="5">
        <v>283</v>
      </c>
      <c r="I146" s="5">
        <v>26</v>
      </c>
      <c r="J146" s="5">
        <v>4</v>
      </c>
      <c r="K146" s="5" t="s">
        <v>382</v>
      </c>
      <c r="L146" s="5" t="str">
        <f>INDEX('Master_Menu Item'!$B:$B, MATCH(F146,'Master_Menu Item'!$A:$A,0))</f>
        <v>Chinese</v>
      </c>
      <c r="M146" s="5" t="str">
        <f t="shared" si="10"/>
        <v>Naini</v>
      </c>
      <c r="N146" s="5" t="str">
        <f>INDEX(Master_Branch!$C:$C, MATCH(D146,Master_Branch!$A:$A,0))</f>
        <v>Hyderabad</v>
      </c>
      <c r="O146" s="5" t="str">
        <f t="shared" si="11"/>
        <v>Tuesday</v>
      </c>
      <c r="P146" s="15">
        <f t="shared" si="12"/>
        <v>46174</v>
      </c>
      <c r="Q146" s="5" t="str">
        <f t="shared" si="13"/>
        <v>Normal</v>
      </c>
      <c r="R146" s="9" t="str">
        <f t="shared" si="14"/>
        <v>Good</v>
      </c>
    </row>
    <row r="147" spans="1:18">
      <c r="A147" s="5" t="s">
        <v>156</v>
      </c>
      <c r="B147" s="7">
        <v>46197</v>
      </c>
      <c r="C147" s="8">
        <v>0.69791666666666663</v>
      </c>
      <c r="D147" s="5" t="s">
        <v>205</v>
      </c>
      <c r="E147" s="5" t="s">
        <v>212</v>
      </c>
      <c r="F147" s="5" t="s">
        <v>218</v>
      </c>
      <c r="G147" s="5" t="s">
        <v>367</v>
      </c>
      <c r="H147" s="5">
        <v>262</v>
      </c>
      <c r="I147" s="5">
        <v>19</v>
      </c>
      <c r="J147" s="5">
        <v>3</v>
      </c>
      <c r="K147" s="5" t="s">
        <v>382</v>
      </c>
      <c r="L147" s="5" t="str">
        <f>INDEX('Master_Menu Item'!$B:$B, MATCH(F147,'Master_Menu Item'!$A:$A,0))</f>
        <v>Deserts/Bakery</v>
      </c>
      <c r="M147" s="5" t="str">
        <f t="shared" si="10"/>
        <v>Pari</v>
      </c>
      <c r="N147" s="5" t="str">
        <f>INDEX(Master_Branch!$C:$C, MATCH(D147,Master_Branch!$A:$A,0))</f>
        <v>Vijaywada</v>
      </c>
      <c r="O147" s="5" t="str">
        <f t="shared" si="11"/>
        <v>Wednesday</v>
      </c>
      <c r="P147" s="15">
        <f t="shared" si="12"/>
        <v>46174</v>
      </c>
      <c r="Q147" s="5" t="str">
        <f t="shared" si="13"/>
        <v>Fast</v>
      </c>
      <c r="R147" s="9" t="str">
        <f t="shared" si="14"/>
        <v>Needs Improvement</v>
      </c>
    </row>
    <row r="148" spans="1:18">
      <c r="A148" s="5" t="s">
        <v>157</v>
      </c>
      <c r="B148" s="7">
        <v>46198</v>
      </c>
      <c r="C148" s="8">
        <v>0.77083333333333337</v>
      </c>
      <c r="D148" s="5" t="s">
        <v>206</v>
      </c>
      <c r="E148" s="5" t="s">
        <v>213</v>
      </c>
      <c r="F148" s="5" t="s">
        <v>223</v>
      </c>
      <c r="G148" s="5" t="s">
        <v>368</v>
      </c>
      <c r="H148" s="5">
        <v>276</v>
      </c>
      <c r="I148" s="5">
        <v>18</v>
      </c>
      <c r="J148" s="5">
        <v>2</v>
      </c>
      <c r="K148" s="5" t="s">
        <v>383</v>
      </c>
      <c r="L148" s="5" t="str">
        <f>INDEX('Master_Menu Item'!$B:$B, MATCH(F148,'Master_Menu Item'!$A:$A,0))</f>
        <v>South Indian</v>
      </c>
      <c r="M148" s="5" t="str">
        <f t="shared" si="10"/>
        <v>Shiv</v>
      </c>
      <c r="N148" s="5" t="str">
        <f>INDEX(Master_Branch!$C:$C, MATCH(D148,Master_Branch!$A:$A,0))</f>
        <v>Chennai</v>
      </c>
      <c r="O148" s="5" t="str">
        <f t="shared" si="11"/>
        <v>Thursday</v>
      </c>
      <c r="P148" s="15">
        <f t="shared" si="12"/>
        <v>46174</v>
      </c>
      <c r="Q148" s="5" t="str">
        <f t="shared" si="13"/>
        <v>Fast</v>
      </c>
      <c r="R148" s="9" t="str">
        <f t="shared" si="14"/>
        <v>Needs Improvement</v>
      </c>
    </row>
    <row r="149" spans="1:18">
      <c r="A149" s="5" t="s">
        <v>158</v>
      </c>
      <c r="B149" s="7">
        <v>46199</v>
      </c>
      <c r="C149" s="8">
        <v>0.52083333333333337</v>
      </c>
      <c r="D149" s="5" t="s">
        <v>203</v>
      </c>
      <c r="E149" s="5" t="s">
        <v>209</v>
      </c>
      <c r="F149" s="5" t="s">
        <v>215</v>
      </c>
      <c r="G149" s="5" t="s">
        <v>369</v>
      </c>
      <c r="H149" s="5">
        <v>209</v>
      </c>
      <c r="I149" s="5">
        <v>27</v>
      </c>
      <c r="J149" s="5">
        <v>2</v>
      </c>
      <c r="K149" s="5" t="s">
        <v>384</v>
      </c>
      <c r="L149" s="5" t="str">
        <f>INDEX('Master_Menu Item'!$B:$B, MATCH(F149,'Master_Menu Item'!$A:$A,0))</f>
        <v>Fast Food</v>
      </c>
      <c r="M149" s="5" t="str">
        <f t="shared" si="10"/>
        <v>Karunya Reddy</v>
      </c>
      <c r="N149" s="5" t="str">
        <f>INDEX(Master_Branch!$C:$C, MATCH(D149,Master_Branch!$A:$A,0))</f>
        <v>Bengaluru</v>
      </c>
      <c r="O149" s="5" t="str">
        <f t="shared" si="11"/>
        <v>Friday</v>
      </c>
      <c r="P149" s="15">
        <f t="shared" si="12"/>
        <v>46174</v>
      </c>
      <c r="Q149" s="5" t="str">
        <f t="shared" si="13"/>
        <v>Normal</v>
      </c>
      <c r="R149" s="9" t="str">
        <f t="shared" si="14"/>
        <v>Needs Improvement</v>
      </c>
    </row>
    <row r="150" spans="1:18">
      <c r="A150" s="5" t="s">
        <v>159</v>
      </c>
      <c r="B150" s="7">
        <v>46200</v>
      </c>
      <c r="C150" s="8">
        <v>0.84722222222222221</v>
      </c>
      <c r="D150" s="5" t="s">
        <v>203</v>
      </c>
      <c r="E150" s="5" t="s">
        <v>210</v>
      </c>
      <c r="F150" s="5" t="s">
        <v>216</v>
      </c>
      <c r="G150" s="5" t="s">
        <v>370</v>
      </c>
      <c r="H150" s="5">
        <v>223</v>
      </c>
      <c r="I150" s="5">
        <v>37</v>
      </c>
      <c r="J150" s="5">
        <v>4</v>
      </c>
      <c r="K150" s="5" t="s">
        <v>383</v>
      </c>
      <c r="L150" s="5" t="str">
        <f>INDEX('Master_Menu Item'!$B:$B, MATCH(F150,'Master_Menu Item'!$A:$A,0))</f>
        <v>North Indian</v>
      </c>
      <c r="M150" s="5" t="str">
        <f t="shared" si="10"/>
        <v>Roshini</v>
      </c>
      <c r="N150" s="5" t="str">
        <f>INDEX(Master_Branch!$C:$C, MATCH(D150,Master_Branch!$A:$A,0))</f>
        <v>Bengaluru</v>
      </c>
      <c r="O150" s="5" t="str">
        <f t="shared" si="11"/>
        <v>Saturday</v>
      </c>
      <c r="P150" s="15">
        <f t="shared" si="12"/>
        <v>46174</v>
      </c>
      <c r="Q150" s="5" t="str">
        <f t="shared" si="13"/>
        <v>Slow</v>
      </c>
      <c r="R150" s="9" t="str">
        <f t="shared" si="14"/>
        <v>Good</v>
      </c>
    </row>
    <row r="151" spans="1:18">
      <c r="A151" s="5" t="s">
        <v>160</v>
      </c>
      <c r="B151" s="7">
        <v>46201</v>
      </c>
      <c r="C151" s="8">
        <v>0.88541666666666663</v>
      </c>
      <c r="D151" s="5" t="s">
        <v>207</v>
      </c>
      <c r="E151" s="5" t="s">
        <v>211</v>
      </c>
      <c r="F151" s="5" t="s">
        <v>214</v>
      </c>
      <c r="G151" s="5" t="s">
        <v>371</v>
      </c>
      <c r="H151" s="5">
        <v>198</v>
      </c>
      <c r="I151" s="5">
        <v>18</v>
      </c>
      <c r="J151" s="5">
        <v>3</v>
      </c>
      <c r="K151" s="5" t="s">
        <v>382</v>
      </c>
      <c r="L151" s="5" t="str">
        <f>INDEX('Master_Menu Item'!$B:$B, MATCH(F151,'Master_Menu Item'!$A:$A,0))</f>
        <v>South Indian</v>
      </c>
      <c r="M151" s="5" t="str">
        <f t="shared" si="10"/>
        <v>Roshan</v>
      </c>
      <c r="N151" s="5" t="str">
        <f>INDEX(Master_Branch!$C:$C, MATCH(D151,Master_Branch!$A:$A,0))</f>
        <v>Kochi</v>
      </c>
      <c r="O151" s="5" t="str">
        <f t="shared" si="11"/>
        <v>Sunday</v>
      </c>
      <c r="P151" s="15">
        <f t="shared" si="12"/>
        <v>46174</v>
      </c>
      <c r="Q151" s="5" t="str">
        <f t="shared" si="13"/>
        <v>Fast</v>
      </c>
      <c r="R151" s="9" t="str">
        <f t="shared" si="14"/>
        <v>Needs Improvement</v>
      </c>
    </row>
    <row r="152" spans="1:18">
      <c r="A152" s="5" t="s">
        <v>161</v>
      </c>
      <c r="B152" s="7">
        <v>46202</v>
      </c>
      <c r="C152" s="8">
        <v>0.92361111111111116</v>
      </c>
      <c r="D152" s="5" t="s">
        <v>204</v>
      </c>
      <c r="E152" s="5" t="s">
        <v>212</v>
      </c>
      <c r="F152" s="5" t="s">
        <v>215</v>
      </c>
      <c r="G152" s="5" t="s">
        <v>372</v>
      </c>
      <c r="H152" s="5">
        <v>150</v>
      </c>
      <c r="I152" s="5">
        <v>26</v>
      </c>
      <c r="J152" s="5">
        <v>2</v>
      </c>
      <c r="K152" s="5" t="s">
        <v>383</v>
      </c>
      <c r="L152" s="5" t="str">
        <f>INDEX('Master_Menu Item'!$B:$B, MATCH(F152,'Master_Menu Item'!$A:$A,0))</f>
        <v>Fast Food</v>
      </c>
      <c r="M152" s="5" t="str">
        <f t="shared" si="10"/>
        <v>Ritu</v>
      </c>
      <c r="N152" s="5" t="str">
        <f>INDEX(Master_Branch!$C:$C, MATCH(D152,Master_Branch!$A:$A,0))</f>
        <v>Hyderabad</v>
      </c>
      <c r="O152" s="5" t="str">
        <f t="shared" si="11"/>
        <v>Monday</v>
      </c>
      <c r="P152" s="15">
        <f t="shared" si="12"/>
        <v>46174</v>
      </c>
      <c r="Q152" s="5" t="str">
        <f t="shared" si="13"/>
        <v>Normal</v>
      </c>
      <c r="R152" s="9" t="str">
        <f t="shared" si="14"/>
        <v>Needs Improvement</v>
      </c>
    </row>
    <row r="153" spans="1:18">
      <c r="A153" s="5" t="s">
        <v>162</v>
      </c>
      <c r="B153" s="7">
        <v>46203</v>
      </c>
      <c r="C153" s="8">
        <v>0.52083333333333337</v>
      </c>
      <c r="D153" s="5" t="s">
        <v>204</v>
      </c>
      <c r="E153" s="5" t="s">
        <v>210</v>
      </c>
      <c r="F153" s="5" t="s">
        <v>216</v>
      </c>
      <c r="G153" s="5" t="s">
        <v>373</v>
      </c>
      <c r="H153" s="5">
        <v>224</v>
      </c>
      <c r="I153" s="5">
        <v>28</v>
      </c>
      <c r="J153" s="5">
        <v>1</v>
      </c>
      <c r="K153" s="5" t="s">
        <v>382</v>
      </c>
      <c r="L153" s="5" t="str">
        <f>INDEX('Master_Menu Item'!$B:$B, MATCH(F153,'Master_Menu Item'!$A:$A,0))</f>
        <v>North Indian</v>
      </c>
      <c r="M153" s="5" t="str">
        <f t="shared" si="10"/>
        <v>Priyanka</v>
      </c>
      <c r="N153" s="5" t="str">
        <f>INDEX(Master_Branch!$C:$C, MATCH(D153,Master_Branch!$A:$A,0))</f>
        <v>Hyderabad</v>
      </c>
      <c r="O153" s="5" t="str">
        <f t="shared" si="11"/>
        <v>Tuesday</v>
      </c>
      <c r="P153" s="15">
        <f t="shared" si="12"/>
        <v>46174</v>
      </c>
      <c r="Q153" s="5" t="str">
        <f t="shared" si="13"/>
        <v>Normal</v>
      </c>
      <c r="R153" s="9" t="str">
        <f t="shared" si="14"/>
        <v>Needs Improvement</v>
      </c>
    </row>
    <row r="154" spans="1:18">
      <c r="A154" s="5" t="s">
        <v>163</v>
      </c>
      <c r="B154" s="10">
        <v>46204</v>
      </c>
      <c r="C154" s="8">
        <v>0.44791666666666669</v>
      </c>
      <c r="D154" s="5" t="s">
        <v>203</v>
      </c>
      <c r="E154" s="5" t="s">
        <v>209</v>
      </c>
      <c r="F154" s="5" t="s">
        <v>217</v>
      </c>
      <c r="G154" s="5" t="s">
        <v>374</v>
      </c>
      <c r="H154" s="5">
        <v>101</v>
      </c>
      <c r="I154" s="5">
        <v>16</v>
      </c>
      <c r="J154" s="5">
        <v>3</v>
      </c>
      <c r="K154" s="5" t="s">
        <v>383</v>
      </c>
      <c r="L154" s="5" t="str">
        <f>INDEX('Master_Menu Item'!$B:$B, MATCH(F154,'Master_Menu Item'!$A:$A,0))</f>
        <v>Chinese</v>
      </c>
      <c r="M154" s="5" t="str">
        <f t="shared" si="10"/>
        <v>Nisha</v>
      </c>
      <c r="N154" s="5" t="str">
        <f>INDEX(Master_Branch!$C:$C, MATCH(D154,Master_Branch!$A:$A,0))</f>
        <v>Bengaluru</v>
      </c>
      <c r="O154" s="5" t="str">
        <f t="shared" si="11"/>
        <v>Wednesday</v>
      </c>
      <c r="P154" s="15">
        <f t="shared" si="12"/>
        <v>46204</v>
      </c>
      <c r="Q154" s="5" t="str">
        <f t="shared" si="13"/>
        <v>Fast</v>
      </c>
      <c r="R154" s="9" t="str">
        <f t="shared" si="14"/>
        <v>Needs Improvement</v>
      </c>
    </row>
    <row r="155" spans="1:18">
      <c r="A155" s="5" t="s">
        <v>164</v>
      </c>
      <c r="B155" s="7">
        <v>46205</v>
      </c>
      <c r="C155" s="8">
        <v>0.47916666666666669</v>
      </c>
      <c r="D155" s="5" t="s">
        <v>207</v>
      </c>
      <c r="E155" s="5" t="s">
        <v>210</v>
      </c>
      <c r="F155" s="5" t="s">
        <v>218</v>
      </c>
      <c r="G155" s="5" t="s">
        <v>375</v>
      </c>
      <c r="H155" s="5">
        <v>152</v>
      </c>
      <c r="I155" s="5">
        <v>18</v>
      </c>
      <c r="J155" s="5">
        <v>4</v>
      </c>
      <c r="K155" s="5" t="s">
        <v>384</v>
      </c>
      <c r="L155" s="5" t="str">
        <f>INDEX('Master_Menu Item'!$B:$B, MATCH(F155,'Master_Menu Item'!$A:$A,0))</f>
        <v>Deserts/Bakery</v>
      </c>
      <c r="M155" s="5" t="str">
        <f t="shared" si="10"/>
        <v>Neha</v>
      </c>
      <c r="N155" s="5" t="str">
        <f>INDEX(Master_Branch!$C:$C, MATCH(D155,Master_Branch!$A:$A,0))</f>
        <v>Kochi</v>
      </c>
      <c r="O155" s="5" t="str">
        <f t="shared" si="11"/>
        <v>Thursday</v>
      </c>
      <c r="P155" s="15">
        <f t="shared" si="12"/>
        <v>46204</v>
      </c>
      <c r="Q155" s="5" t="str">
        <f t="shared" si="13"/>
        <v>Fast</v>
      </c>
      <c r="R155" s="9" t="str">
        <f t="shared" si="14"/>
        <v>Good</v>
      </c>
    </row>
    <row r="156" spans="1:18">
      <c r="A156" s="5" t="s">
        <v>165</v>
      </c>
      <c r="B156" s="7">
        <v>46206</v>
      </c>
      <c r="C156" s="8">
        <v>0.5</v>
      </c>
      <c r="D156" s="5" t="s">
        <v>204</v>
      </c>
      <c r="E156" s="5" t="s">
        <v>211</v>
      </c>
      <c r="F156" s="5" t="s">
        <v>214</v>
      </c>
      <c r="G156" s="5" t="s">
        <v>376</v>
      </c>
      <c r="H156" s="5">
        <v>130</v>
      </c>
      <c r="I156" s="5">
        <v>18</v>
      </c>
      <c r="J156" s="5">
        <v>2</v>
      </c>
      <c r="K156" s="5" t="s">
        <v>383</v>
      </c>
      <c r="L156" s="5" t="str">
        <f>INDEX('Master_Menu Item'!$B:$B, MATCH(F156,'Master_Menu Item'!$A:$A,0))</f>
        <v>South Indian</v>
      </c>
      <c r="M156" s="5" t="str">
        <f t="shared" si="10"/>
        <v>Rohini</v>
      </c>
      <c r="N156" s="5" t="str">
        <f>INDEX(Master_Branch!$C:$C, MATCH(D156,Master_Branch!$A:$A,0))</f>
        <v>Hyderabad</v>
      </c>
      <c r="O156" s="5" t="str">
        <f t="shared" si="11"/>
        <v>Friday</v>
      </c>
      <c r="P156" s="15">
        <f t="shared" si="12"/>
        <v>46204</v>
      </c>
      <c r="Q156" s="5" t="str">
        <f t="shared" si="13"/>
        <v>Fast</v>
      </c>
      <c r="R156" s="9" t="str">
        <f t="shared" si="14"/>
        <v>Needs Improvement</v>
      </c>
    </row>
    <row r="157" spans="1:18">
      <c r="A157" s="5" t="s">
        <v>166</v>
      </c>
      <c r="B157" s="7">
        <v>46207</v>
      </c>
      <c r="C157" s="8">
        <v>0.59722222222222221</v>
      </c>
      <c r="D157" s="5" t="s">
        <v>205</v>
      </c>
      <c r="E157" s="5" t="s">
        <v>212</v>
      </c>
      <c r="F157" s="5" t="s">
        <v>409</v>
      </c>
      <c r="G157" s="5" t="s">
        <v>377</v>
      </c>
      <c r="H157" s="5">
        <v>237</v>
      </c>
      <c r="I157" s="5">
        <v>27</v>
      </c>
      <c r="J157" s="5">
        <v>4</v>
      </c>
      <c r="K157" s="5" t="s">
        <v>382</v>
      </c>
      <c r="L157" s="5" t="str">
        <f>INDEX('Master_Menu Item'!$B:$B, MATCH(F157,'Master_Menu Item'!$A:$A,0))</f>
        <v>Fast Food</v>
      </c>
      <c r="M157" s="5" t="str">
        <f t="shared" si="10"/>
        <v>Tanvi</v>
      </c>
      <c r="N157" s="5" t="str">
        <f>INDEX(Master_Branch!$C:$C, MATCH(D157,Master_Branch!$A:$A,0))</f>
        <v>Vijaywada</v>
      </c>
      <c r="O157" s="5" t="str">
        <f t="shared" si="11"/>
        <v>Saturday</v>
      </c>
      <c r="P157" s="15">
        <f t="shared" si="12"/>
        <v>46204</v>
      </c>
      <c r="Q157" s="5" t="str">
        <f t="shared" si="13"/>
        <v>Normal</v>
      </c>
      <c r="R157" s="9" t="str">
        <f t="shared" si="14"/>
        <v>Good</v>
      </c>
    </row>
    <row r="158" spans="1:18">
      <c r="A158" s="5" t="s">
        <v>167</v>
      </c>
      <c r="B158" s="10">
        <v>46208</v>
      </c>
      <c r="C158" s="8">
        <v>0.64513888888888893</v>
      </c>
      <c r="D158" s="5" t="s">
        <v>206</v>
      </c>
      <c r="E158" s="5" t="s">
        <v>213</v>
      </c>
      <c r="F158" s="5" t="s">
        <v>226</v>
      </c>
      <c r="G158" s="5" t="s">
        <v>378</v>
      </c>
      <c r="H158" s="5">
        <v>212</v>
      </c>
      <c r="I158" s="5">
        <v>39</v>
      </c>
      <c r="J158" s="5">
        <v>4</v>
      </c>
      <c r="K158" s="5" t="s">
        <v>383</v>
      </c>
      <c r="L158" s="5" t="str">
        <f>INDEX('Master_Menu Item'!$B:$B, MATCH(F158,'Master_Menu Item'!$A:$A,0))</f>
        <v>North Indian</v>
      </c>
      <c r="M158" s="5" t="str">
        <f t="shared" si="10"/>
        <v>Manisha</v>
      </c>
      <c r="N158" s="5" t="str">
        <f>INDEX(Master_Branch!$C:$C, MATCH(D158,Master_Branch!$A:$A,0))</f>
        <v>Chennai</v>
      </c>
      <c r="O158" s="5" t="str">
        <f t="shared" si="11"/>
        <v>Sunday</v>
      </c>
      <c r="P158" s="15">
        <f t="shared" si="12"/>
        <v>46204</v>
      </c>
      <c r="Q158" s="5" t="str">
        <f t="shared" si="13"/>
        <v>Slow</v>
      </c>
      <c r="R158" s="9" t="str">
        <f t="shared" si="14"/>
        <v>Good</v>
      </c>
    </row>
    <row r="159" spans="1:18">
      <c r="A159" s="5" t="s">
        <v>168</v>
      </c>
      <c r="B159" s="7">
        <v>46209</v>
      </c>
      <c r="C159" s="8">
        <v>0.62638888888888888</v>
      </c>
      <c r="D159" s="5" t="s">
        <v>203</v>
      </c>
      <c r="E159" s="5" t="s">
        <v>209</v>
      </c>
      <c r="F159" s="5" t="s">
        <v>227</v>
      </c>
      <c r="G159" s="5" t="s">
        <v>379</v>
      </c>
      <c r="H159" s="5">
        <v>108</v>
      </c>
      <c r="I159" s="5">
        <v>27</v>
      </c>
      <c r="J159" s="5">
        <v>4</v>
      </c>
      <c r="K159" s="5" t="s">
        <v>384</v>
      </c>
      <c r="L159" s="5" t="str">
        <f>INDEX('Master_Menu Item'!$B:$B, MATCH(F159,'Master_Menu Item'!$A:$A,0))</f>
        <v>Chinese</v>
      </c>
      <c r="M159" s="5" t="str">
        <f t="shared" si="10"/>
        <v>Sowmika</v>
      </c>
      <c r="N159" s="5" t="str">
        <f>INDEX(Master_Branch!$C:$C, MATCH(D159,Master_Branch!$A:$A,0))</f>
        <v>Bengaluru</v>
      </c>
      <c r="O159" s="5" t="str">
        <f t="shared" si="11"/>
        <v>Monday</v>
      </c>
      <c r="P159" s="15">
        <f t="shared" si="12"/>
        <v>46204</v>
      </c>
      <c r="Q159" s="5" t="str">
        <f t="shared" si="13"/>
        <v>Normal</v>
      </c>
      <c r="R159" s="9" t="str">
        <f t="shared" si="14"/>
        <v>Good</v>
      </c>
    </row>
    <row r="160" spans="1:18">
      <c r="A160" s="5" t="s">
        <v>169</v>
      </c>
      <c r="B160" s="7">
        <v>46210</v>
      </c>
      <c r="C160" s="8">
        <v>0.52500000000000002</v>
      </c>
      <c r="D160" s="5" t="s">
        <v>203</v>
      </c>
      <c r="E160" s="5" t="s">
        <v>210</v>
      </c>
      <c r="F160" s="5" t="s">
        <v>218</v>
      </c>
      <c r="G160" s="5" t="s">
        <v>380</v>
      </c>
      <c r="H160" s="5">
        <v>256</v>
      </c>
      <c r="I160" s="5">
        <v>18</v>
      </c>
      <c r="J160" s="5">
        <v>3</v>
      </c>
      <c r="K160" s="5" t="s">
        <v>383</v>
      </c>
      <c r="L160" s="5" t="str">
        <f>INDEX('Master_Menu Item'!$B:$B, MATCH(F160,'Master_Menu Item'!$A:$A,0))</f>
        <v>Deserts/Bakery</v>
      </c>
      <c r="M160" s="5" t="str">
        <f t="shared" si="10"/>
        <v>Varshitha</v>
      </c>
      <c r="N160" s="5" t="str">
        <f>INDEX(Master_Branch!$C:$C, MATCH(D160,Master_Branch!$A:$A,0))</f>
        <v>Bengaluru</v>
      </c>
      <c r="O160" s="5" t="str">
        <f t="shared" si="11"/>
        <v>Tuesday</v>
      </c>
      <c r="P160" s="15">
        <f t="shared" si="12"/>
        <v>46204</v>
      </c>
      <c r="Q160" s="5" t="str">
        <f t="shared" si="13"/>
        <v>Fast</v>
      </c>
      <c r="R160" s="9" t="str">
        <f t="shared" si="14"/>
        <v>Needs Improvement</v>
      </c>
    </row>
    <row r="161" spans="1:18">
      <c r="A161" s="5" t="s">
        <v>170</v>
      </c>
      <c r="B161" s="7">
        <v>46211</v>
      </c>
      <c r="C161" s="8">
        <v>0.6694444444444444</v>
      </c>
      <c r="D161" s="5" t="s">
        <v>207</v>
      </c>
      <c r="E161" s="5" t="s">
        <v>211</v>
      </c>
      <c r="F161" s="5" t="s">
        <v>223</v>
      </c>
      <c r="G161" s="5" t="s">
        <v>381</v>
      </c>
      <c r="H161" s="5">
        <v>234</v>
      </c>
      <c r="I161" s="5">
        <v>12</v>
      </c>
      <c r="J161" s="5">
        <v>3</v>
      </c>
      <c r="K161" s="5" t="s">
        <v>384</v>
      </c>
      <c r="L161" s="5" t="str">
        <f>INDEX('Master_Menu Item'!$B:$B, MATCH(F161,'Master_Menu Item'!$A:$A,0))</f>
        <v>South Indian</v>
      </c>
      <c r="M161" s="5" t="str">
        <f t="shared" si="10"/>
        <v>Himathi</v>
      </c>
      <c r="N161" s="5" t="str">
        <f>INDEX(Master_Branch!$C:$C, MATCH(D161,Master_Branch!$A:$A,0))</f>
        <v>Kochi</v>
      </c>
      <c r="O161" s="5" t="str">
        <f t="shared" si="11"/>
        <v>Wednesday</v>
      </c>
      <c r="P161" s="15">
        <f t="shared" si="12"/>
        <v>46204</v>
      </c>
      <c r="Q161" s="5" t="str">
        <f t="shared" si="13"/>
        <v>Fast</v>
      </c>
      <c r="R161" s="9" t="str">
        <f t="shared" si="14"/>
        <v>Needs Improvement</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A1690-8671-48FB-B147-C50AE8EDBAE8}">
  <dimension ref="A1:F51"/>
  <sheetViews>
    <sheetView zoomScale="73" workbookViewId="0">
      <selection activeCell="E45" sqref="E45"/>
    </sheetView>
  </sheetViews>
  <sheetFormatPr defaultRowHeight="14"/>
  <cols>
    <col min="1" max="1" width="32.7265625" style="5" customWidth="1"/>
    <col min="2" max="2" width="15.36328125" style="5" customWidth="1"/>
    <col min="3" max="4" width="8.7265625" style="5"/>
    <col min="5" max="5" width="23.453125" style="5" bestFit="1" customWidth="1"/>
    <col min="6" max="16384" width="8.7265625" style="5"/>
  </cols>
  <sheetData>
    <row r="1" spans="1:6">
      <c r="A1" s="4" t="s">
        <v>415</v>
      </c>
    </row>
    <row r="2" spans="1:6">
      <c r="A2" s="5" t="s">
        <v>203</v>
      </c>
      <c r="B2" s="5">
        <f>SUMIFS(Clean_Data!$H:$H, Clean_Data!$D:$D, "BLR01")</f>
        <v>10505</v>
      </c>
      <c r="E2" s="4" t="s">
        <v>425</v>
      </c>
    </row>
    <row r="3" spans="1:6">
      <c r="A3" s="5" t="s">
        <v>204</v>
      </c>
      <c r="B3" s="5">
        <f>SUMIFS(Clean_Data!$H:$H, Clean_Data!$D:$D, "HYD10")</f>
        <v>6203</v>
      </c>
      <c r="E3" s="5" t="s">
        <v>209</v>
      </c>
      <c r="F3" s="5">
        <f>SUMIFS(Clean_Data!$H:$H, Clean_Data!$L:$L, "South Indian")</f>
        <v>6231</v>
      </c>
    </row>
    <row r="4" spans="1:6">
      <c r="A4" s="5" t="s">
        <v>205</v>
      </c>
      <c r="B4" s="5">
        <f>SUMIFS(Clean_Data!$H:$H, Clean_Data!$D:$D, "AP02")</f>
        <v>4143</v>
      </c>
      <c r="E4" s="5" t="s">
        <v>211</v>
      </c>
      <c r="F4" s="5">
        <f>SUMIFS(Clean_Data!$H:$H, Clean_Data!$L:$L, "North Indian")</f>
        <v>7462</v>
      </c>
    </row>
    <row r="5" spans="1:6">
      <c r="A5" s="5" t="s">
        <v>206</v>
      </c>
      <c r="B5" s="5">
        <f>SUMIFS(Clean_Data!$H:$H, Clean_Data!$D:$D, "TN12")</f>
        <v>5201</v>
      </c>
      <c r="E5" s="5" t="s">
        <v>210</v>
      </c>
      <c r="F5" s="5">
        <f>SUMIFS(Clean_Data!$H:$H, Clean_Data!$L:$L, "Fast Food")</f>
        <v>7333</v>
      </c>
    </row>
    <row r="6" spans="1:6">
      <c r="A6" s="5" t="s">
        <v>207</v>
      </c>
      <c r="B6" s="5">
        <f>SUMIFS(Clean_Data!$H:$H, Clean_Data!$D:$D, "KL02")</f>
        <v>5453</v>
      </c>
      <c r="E6" s="5" t="s">
        <v>213</v>
      </c>
      <c r="F6" s="5">
        <f>SUMIFS(Clean_Data!$H:$H, Clean_Data!$L:$L, "Deserts/Bakery")</f>
        <v>5654</v>
      </c>
    </row>
    <row r="7" spans="1:6">
      <c r="A7" s="4" t="s">
        <v>426</v>
      </c>
      <c r="B7" s="5">
        <f>SUM(B2:B6)</f>
        <v>31505</v>
      </c>
      <c r="E7" s="5" t="s">
        <v>212</v>
      </c>
      <c r="F7" s="5">
        <f>SUMIFS(Clean_Data!$H:$H, Clean_Data!$L:$L, "Chinese")</f>
        <v>4825</v>
      </c>
    </row>
    <row r="8" spans="1:6">
      <c r="E8" s="4" t="s">
        <v>426</v>
      </c>
      <c r="F8" s="5">
        <f>SUM(F3:F7)</f>
        <v>31505</v>
      </c>
    </row>
    <row r="10" spans="1:6">
      <c r="A10" s="4" t="s">
        <v>416</v>
      </c>
    </row>
    <row r="11" spans="1:6">
      <c r="A11" s="5" t="s">
        <v>203</v>
      </c>
      <c r="B11" s="6">
        <f>AVERAGEIFS(Clean_Data!$I:$I, Clean_Data!$D:$D, "BLR01")</f>
        <v>26.226415094339622</v>
      </c>
      <c r="E11" s="4" t="s">
        <v>427</v>
      </c>
    </row>
    <row r="12" spans="1:6">
      <c r="A12" s="5" t="s">
        <v>204</v>
      </c>
      <c r="B12" s="6">
        <f>AVERAGEIFS(Clean_Data!$I:$I, Clean_Data!$D:$D, "HYD10")</f>
        <v>29.848484848484848</v>
      </c>
      <c r="E12" s="5" t="s">
        <v>428</v>
      </c>
      <c r="F12" s="5">
        <f>COUNTIF(Clean_Data!$R:$R, "Good")</f>
        <v>68</v>
      </c>
    </row>
    <row r="13" spans="1:6">
      <c r="A13" s="5" t="s">
        <v>205</v>
      </c>
      <c r="B13" s="6">
        <f>AVERAGEIFS(Clean_Data!$I:$I, Clean_Data!$D:$D, "AP02")</f>
        <v>22.285714285714285</v>
      </c>
      <c r="E13" s="5" t="s">
        <v>429</v>
      </c>
      <c r="F13" s="5">
        <f>COUNTIF(Clean_Data!$R:$R, "Needs Improvement")</f>
        <v>92</v>
      </c>
    </row>
    <row r="14" spans="1:6">
      <c r="A14" s="5" t="s">
        <v>206</v>
      </c>
      <c r="B14" s="6">
        <f>AVERAGEIFS(Clean_Data!$I:$I, Clean_Data!$D:$D, "TN12")</f>
        <v>24.25</v>
      </c>
    </row>
    <row r="15" spans="1:6">
      <c r="A15" s="5" t="s">
        <v>207</v>
      </c>
      <c r="B15" s="6">
        <f>AVERAGEIFS(Clean_Data!$I:$I, Clean_Data!$D:$D, "KL02")</f>
        <v>21.862068965517242</v>
      </c>
    </row>
    <row r="18" spans="1:6">
      <c r="A18" s="4" t="s">
        <v>417</v>
      </c>
      <c r="E18" s="4" t="s">
        <v>430</v>
      </c>
    </row>
    <row r="19" spans="1:6">
      <c r="A19" s="5" t="s">
        <v>418</v>
      </c>
      <c r="B19" s="5">
        <f>COUNTIFS(Clean_Data!$O:$O, "Monday")</f>
        <v>23</v>
      </c>
      <c r="E19" s="5" t="s">
        <v>431</v>
      </c>
      <c r="F19" s="5">
        <f>COUNTIF(Clean_Data!$Q:$Q, "Fast")</f>
        <v>72</v>
      </c>
    </row>
    <row r="20" spans="1:6">
      <c r="A20" s="5" t="s">
        <v>419</v>
      </c>
      <c r="B20" s="5">
        <f>COUNTIFS(Clean_Data!$O:$O, "Tuesday")</f>
        <v>24</v>
      </c>
      <c r="E20" s="5" t="s">
        <v>432</v>
      </c>
      <c r="F20" s="5">
        <f>COUNTIF(Clean_Data!$Q:$Q, "Normal")</f>
        <v>65</v>
      </c>
    </row>
    <row r="21" spans="1:6">
      <c r="A21" s="5" t="s">
        <v>420</v>
      </c>
      <c r="B21" s="5">
        <f>COUNTIFS(Clean_Data!$O:$O, "Wednesday")</f>
        <v>23</v>
      </c>
      <c r="E21" s="5" t="s">
        <v>433</v>
      </c>
      <c r="F21" s="5">
        <f>COUNTIF(Clean_Data!$Q:$Q, "Slow")</f>
        <v>23</v>
      </c>
    </row>
    <row r="22" spans="1:6">
      <c r="A22" s="5" t="s">
        <v>421</v>
      </c>
      <c r="B22" s="5">
        <f>COUNTIFS(Clean_Data!$O:$O, "Thursday")</f>
        <v>24</v>
      </c>
    </row>
    <row r="23" spans="1:6">
      <c r="A23" s="5" t="s">
        <v>422</v>
      </c>
      <c r="B23" s="5">
        <f>COUNTIFS(Clean_Data!$O:$O, "Friday")</f>
        <v>22</v>
      </c>
    </row>
    <row r="24" spans="1:6">
      <c r="A24" s="5" t="s">
        <v>423</v>
      </c>
      <c r="B24" s="5">
        <f>COUNTIFS(Clean_Data!$O:$O, "Saturday")</f>
        <v>22</v>
      </c>
    </row>
    <row r="25" spans="1:6">
      <c r="A25" s="5" t="s">
        <v>424</v>
      </c>
      <c r="B25" s="5">
        <f>COUNTIFS(Clean_Data!$O:$O, "Sunday")</f>
        <v>22</v>
      </c>
    </row>
    <row r="26" spans="1:6">
      <c r="B26" s="5">
        <f>SUM(B19:B25)</f>
        <v>160</v>
      </c>
    </row>
    <row r="39" spans="1:2">
      <c r="A39" s="19" t="s">
        <v>445</v>
      </c>
      <c r="B39" s="9">
        <f>SUM(Clean_Data!$H:$H)</f>
        <v>31505</v>
      </c>
    </row>
    <row r="40" spans="1:2">
      <c r="A40" s="9"/>
      <c r="B40" s="9"/>
    </row>
    <row r="41" spans="1:2">
      <c r="A41" s="19" t="s">
        <v>446</v>
      </c>
      <c r="B41" s="9">
        <v>0</v>
      </c>
    </row>
    <row r="42" spans="1:2">
      <c r="A42" s="9"/>
      <c r="B42" s="9"/>
    </row>
    <row r="43" spans="1:2">
      <c r="A43" s="19" t="s">
        <v>447</v>
      </c>
      <c r="B43" s="9">
        <f>B39*(1+B41)</f>
        <v>31505</v>
      </c>
    </row>
    <row r="44" spans="1:2">
      <c r="A44" s="9"/>
      <c r="B44" s="9"/>
    </row>
    <row r="45" spans="1:2">
      <c r="A45" s="9"/>
      <c r="B45" s="9">
        <f>B43</f>
        <v>31505</v>
      </c>
    </row>
    <row r="46" spans="1:2">
      <c r="A46" s="20">
        <v>0</v>
      </c>
      <c r="B46" s="9">
        <f t="dataTable" ref="B46:B51" dt2D="0" dtr="0" r1="B41"/>
        <v>31505</v>
      </c>
    </row>
    <row r="47" spans="1:2">
      <c r="A47" s="21">
        <v>0.05</v>
      </c>
      <c r="B47" s="9">
        <v>33080.25</v>
      </c>
    </row>
    <row r="48" spans="1:2">
      <c r="A48" s="21">
        <v>0.1</v>
      </c>
      <c r="B48" s="9">
        <v>34655.5</v>
      </c>
    </row>
    <row r="49" spans="1:2">
      <c r="A49" s="21">
        <v>0.15</v>
      </c>
      <c r="B49" s="9">
        <v>36230.75</v>
      </c>
    </row>
    <row r="50" spans="1:2">
      <c r="A50" s="21">
        <v>0.2</v>
      </c>
      <c r="B50" s="9">
        <v>37806</v>
      </c>
    </row>
    <row r="51" spans="1:2">
      <c r="A51" s="21">
        <v>0.25</v>
      </c>
      <c r="B51" s="9">
        <v>39381.25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7120F-9229-40FD-B984-83E504A5EC8E}">
  <dimension ref="A1:M27"/>
  <sheetViews>
    <sheetView zoomScale="63" workbookViewId="0">
      <selection activeCell="N22" sqref="N22"/>
    </sheetView>
  </sheetViews>
  <sheetFormatPr defaultRowHeight="14.5"/>
  <cols>
    <col min="1" max="1" width="14.08984375" bestFit="1" customWidth="1"/>
    <col min="2" max="2" width="22" bestFit="1" customWidth="1"/>
    <col min="3" max="3" width="6.1796875" bestFit="1" customWidth="1"/>
    <col min="4" max="4" width="6.54296875" bestFit="1" customWidth="1"/>
    <col min="5" max="5" width="5" bestFit="1" customWidth="1"/>
    <col min="6" max="6" width="5.26953125" bestFit="1" customWidth="1"/>
    <col min="7" max="7" width="11.08984375" bestFit="1" customWidth="1"/>
    <col min="8" max="8" width="7.90625" bestFit="1" customWidth="1"/>
    <col min="9" max="9" width="29.36328125" bestFit="1" customWidth="1"/>
    <col min="10" max="10" width="17" bestFit="1" customWidth="1"/>
    <col min="11" max="11" width="7.1796875" bestFit="1" customWidth="1"/>
    <col min="12" max="12" width="5" bestFit="1" customWidth="1"/>
    <col min="13" max="13" width="11.08984375" bestFit="1" customWidth="1"/>
    <col min="14" max="14" width="22.453125" bestFit="1" customWidth="1"/>
    <col min="15" max="15" width="7.1796875" bestFit="1" customWidth="1"/>
    <col min="16" max="16" width="11.90625" customWidth="1"/>
    <col min="17" max="17" width="11.08984375" bestFit="1" customWidth="1"/>
  </cols>
  <sheetData>
    <row r="1" spans="1:11">
      <c r="A1" s="13" t="s">
        <v>437</v>
      </c>
      <c r="B1" s="13" t="s">
        <v>436</v>
      </c>
      <c r="J1" s="13" t="s">
        <v>434</v>
      </c>
      <c r="K1" t="s">
        <v>438</v>
      </c>
    </row>
    <row r="2" spans="1:11">
      <c r="A2" s="13" t="s">
        <v>434</v>
      </c>
      <c r="B2" t="s">
        <v>205</v>
      </c>
      <c r="C2" t="s">
        <v>203</v>
      </c>
      <c r="D2" t="s">
        <v>204</v>
      </c>
      <c r="E2" t="s">
        <v>207</v>
      </c>
      <c r="F2" t="s">
        <v>206</v>
      </c>
      <c r="G2" t="s">
        <v>435</v>
      </c>
      <c r="J2" s="14" t="s">
        <v>205</v>
      </c>
      <c r="K2" s="3">
        <v>2.9523809523809526</v>
      </c>
    </row>
    <row r="3" spans="1:11">
      <c r="A3" s="17">
        <v>46023</v>
      </c>
      <c r="B3">
        <v>0</v>
      </c>
      <c r="C3">
        <v>80</v>
      </c>
      <c r="D3">
        <v>0</v>
      </c>
      <c r="E3">
        <v>127</v>
      </c>
      <c r="F3">
        <v>0</v>
      </c>
      <c r="G3">
        <v>207</v>
      </c>
      <c r="J3" s="14" t="s">
        <v>203</v>
      </c>
      <c r="K3" s="3">
        <v>3.2641509433962264</v>
      </c>
    </row>
    <row r="4" spans="1:11">
      <c r="A4" s="17">
        <v>46054</v>
      </c>
      <c r="B4">
        <v>867</v>
      </c>
      <c r="C4">
        <v>1959</v>
      </c>
      <c r="D4">
        <v>1070</v>
      </c>
      <c r="E4">
        <v>750</v>
      </c>
      <c r="F4">
        <v>1191</v>
      </c>
      <c r="G4">
        <v>5837</v>
      </c>
      <c r="J4" s="14" t="s">
        <v>204</v>
      </c>
      <c r="K4" s="3">
        <v>2.9090909090909092</v>
      </c>
    </row>
    <row r="5" spans="1:11">
      <c r="A5" s="17">
        <v>46082</v>
      </c>
      <c r="B5">
        <v>864</v>
      </c>
      <c r="C5">
        <v>2382</v>
      </c>
      <c r="D5">
        <v>880</v>
      </c>
      <c r="E5">
        <v>1064</v>
      </c>
      <c r="F5">
        <v>1155</v>
      </c>
      <c r="G5">
        <v>6345</v>
      </c>
      <c r="J5" s="14" t="s">
        <v>207</v>
      </c>
      <c r="K5" s="3">
        <v>3.3448275862068964</v>
      </c>
    </row>
    <row r="6" spans="1:11">
      <c r="A6" s="17">
        <v>46113</v>
      </c>
      <c r="B6">
        <v>797</v>
      </c>
      <c r="C6">
        <v>2014</v>
      </c>
      <c r="D6">
        <v>1134</v>
      </c>
      <c r="E6">
        <v>989</v>
      </c>
      <c r="F6">
        <v>879</v>
      </c>
      <c r="G6">
        <v>5813</v>
      </c>
      <c r="J6" s="14" t="s">
        <v>206</v>
      </c>
      <c r="K6" s="3">
        <v>3.1666666666666665</v>
      </c>
    </row>
    <row r="7" spans="1:11">
      <c r="A7" s="17">
        <v>46143</v>
      </c>
      <c r="B7">
        <v>660</v>
      </c>
      <c r="C7">
        <v>1960</v>
      </c>
      <c r="D7">
        <v>1354</v>
      </c>
      <c r="E7">
        <v>1148</v>
      </c>
      <c r="F7">
        <v>884</v>
      </c>
      <c r="G7">
        <v>6006</v>
      </c>
      <c r="J7" s="14" t="s">
        <v>435</v>
      </c>
      <c r="K7" s="3">
        <v>3.15</v>
      </c>
    </row>
    <row r="8" spans="1:11">
      <c r="A8" s="17">
        <v>46174</v>
      </c>
      <c r="B8">
        <v>718</v>
      </c>
      <c r="C8">
        <v>1645</v>
      </c>
      <c r="D8">
        <v>1635</v>
      </c>
      <c r="E8">
        <v>989</v>
      </c>
      <c r="F8">
        <v>880</v>
      </c>
      <c r="G8">
        <v>5867</v>
      </c>
    </row>
    <row r="9" spans="1:11">
      <c r="A9" s="17">
        <v>46204</v>
      </c>
      <c r="B9">
        <v>237</v>
      </c>
      <c r="C9">
        <v>465</v>
      </c>
      <c r="D9">
        <v>130</v>
      </c>
      <c r="E9">
        <v>386</v>
      </c>
      <c r="F9">
        <v>212</v>
      </c>
      <c r="G9">
        <v>1430</v>
      </c>
    </row>
    <row r="10" spans="1:11">
      <c r="A10" s="14" t="s">
        <v>435</v>
      </c>
      <c r="B10">
        <v>4143</v>
      </c>
      <c r="C10">
        <v>10505</v>
      </c>
      <c r="D10">
        <v>6203</v>
      </c>
      <c r="E10">
        <v>5453</v>
      </c>
      <c r="F10">
        <v>5201</v>
      </c>
      <c r="G10">
        <v>31505</v>
      </c>
    </row>
    <row r="18" spans="1:13">
      <c r="I18" s="13" t="s">
        <v>439</v>
      </c>
      <c r="J18" s="13" t="s">
        <v>436</v>
      </c>
    </row>
    <row r="19" spans="1:13">
      <c r="A19" s="13" t="s">
        <v>434</v>
      </c>
      <c r="B19" t="s">
        <v>444</v>
      </c>
      <c r="I19" s="13" t="s">
        <v>434</v>
      </c>
      <c r="J19" t="s">
        <v>431</v>
      </c>
      <c r="K19" t="s">
        <v>432</v>
      </c>
      <c r="L19" t="s">
        <v>433</v>
      </c>
      <c r="M19" t="s">
        <v>435</v>
      </c>
    </row>
    <row r="20" spans="1:13">
      <c r="A20" s="14" t="s">
        <v>212</v>
      </c>
      <c r="B20">
        <v>24</v>
      </c>
      <c r="I20" s="14" t="s">
        <v>418</v>
      </c>
      <c r="J20">
        <v>10</v>
      </c>
      <c r="K20">
        <v>9</v>
      </c>
      <c r="L20">
        <v>4</v>
      </c>
      <c r="M20">
        <v>23</v>
      </c>
    </row>
    <row r="21" spans="1:13">
      <c r="A21" s="14" t="s">
        <v>213</v>
      </c>
      <c r="B21">
        <v>27</v>
      </c>
      <c r="I21" s="14" t="s">
        <v>419</v>
      </c>
      <c r="J21">
        <v>10</v>
      </c>
      <c r="K21">
        <v>12</v>
      </c>
      <c r="L21">
        <v>2</v>
      </c>
      <c r="M21">
        <v>24</v>
      </c>
    </row>
    <row r="22" spans="1:13">
      <c r="A22" s="14" t="s">
        <v>210</v>
      </c>
      <c r="B22">
        <v>37</v>
      </c>
      <c r="I22" s="14" t="s">
        <v>420</v>
      </c>
      <c r="J22">
        <v>11</v>
      </c>
      <c r="K22">
        <v>10</v>
      </c>
      <c r="L22">
        <v>2</v>
      </c>
      <c r="M22">
        <v>23</v>
      </c>
    </row>
    <row r="23" spans="1:13">
      <c r="A23" s="14" t="s">
        <v>211</v>
      </c>
      <c r="B23">
        <v>37</v>
      </c>
      <c r="I23" s="14" t="s">
        <v>421</v>
      </c>
      <c r="J23">
        <v>11</v>
      </c>
      <c r="K23">
        <v>8</v>
      </c>
      <c r="L23">
        <v>5</v>
      </c>
      <c r="M23">
        <v>24</v>
      </c>
    </row>
    <row r="24" spans="1:13">
      <c r="A24" s="14" t="s">
        <v>209</v>
      </c>
      <c r="B24">
        <v>35</v>
      </c>
      <c r="I24" s="14" t="s">
        <v>422</v>
      </c>
      <c r="J24">
        <v>11</v>
      </c>
      <c r="K24">
        <v>10</v>
      </c>
      <c r="L24">
        <v>1</v>
      </c>
      <c r="M24">
        <v>22</v>
      </c>
    </row>
    <row r="25" spans="1:13">
      <c r="A25" s="14" t="s">
        <v>435</v>
      </c>
      <c r="B25">
        <v>160</v>
      </c>
      <c r="I25" s="14" t="s">
        <v>423</v>
      </c>
      <c r="J25">
        <v>8</v>
      </c>
      <c r="K25">
        <v>9</v>
      </c>
      <c r="L25">
        <v>5</v>
      </c>
      <c r="M25">
        <v>22</v>
      </c>
    </row>
    <row r="26" spans="1:13">
      <c r="I26" s="14" t="s">
        <v>424</v>
      </c>
      <c r="J26">
        <v>11</v>
      </c>
      <c r="K26">
        <v>7</v>
      </c>
      <c r="L26">
        <v>4</v>
      </c>
      <c r="M26">
        <v>22</v>
      </c>
    </row>
    <row r="27" spans="1:13">
      <c r="I27" s="14" t="s">
        <v>435</v>
      </c>
      <c r="J27">
        <v>72</v>
      </c>
      <c r="K27">
        <v>65</v>
      </c>
      <c r="L27">
        <v>23</v>
      </c>
      <c r="M27">
        <v>160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546C3-6E95-499B-9363-00D94C797E58}">
  <dimension ref="A1:N25"/>
  <sheetViews>
    <sheetView showGridLines="0" tabSelected="1" topLeftCell="A2" zoomScale="45" zoomScaleNormal="46" workbookViewId="0">
      <selection activeCell="AG43" sqref="AG43"/>
    </sheetView>
  </sheetViews>
  <sheetFormatPr defaultRowHeight="14.5"/>
  <cols>
    <col min="1" max="1" width="45" customWidth="1"/>
    <col min="9" max="9" width="27.36328125" customWidth="1"/>
    <col min="12" max="12" width="25.08984375" customWidth="1"/>
  </cols>
  <sheetData>
    <row r="1" spans="1:14" ht="20">
      <c r="N1" s="18" t="s">
        <v>441</v>
      </c>
    </row>
    <row r="2" spans="1:14" ht="20">
      <c r="A2" s="18" t="s">
        <v>440</v>
      </c>
      <c r="I2" s="18"/>
    </row>
    <row r="21" spans="1:14">
      <c r="A21" s="4"/>
    </row>
    <row r="24" spans="1:14" ht="20">
      <c r="N24" s="18" t="s">
        <v>443</v>
      </c>
    </row>
    <row r="25" spans="1:14" ht="20">
      <c r="A25" s="18" t="s">
        <v>442</v>
      </c>
      <c r="I25"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Raw_Data</vt:lpstr>
      <vt:lpstr>Master_Branch</vt:lpstr>
      <vt:lpstr>Master_Menu Item</vt:lpstr>
      <vt:lpstr>Clean_Data</vt:lpstr>
      <vt:lpstr>Summary</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Kavya Reddy</dc:creator>
  <cp:lastModifiedBy>Kavya Reddy</cp:lastModifiedBy>
  <dcterms:created xsi:type="dcterms:W3CDTF">2026-09-01T08:38:41Z</dcterms:created>
  <dcterms:modified xsi:type="dcterms:W3CDTF">2026-09-30T07:40:17Z</dcterms:modified>
</cp:coreProperties>
</file>